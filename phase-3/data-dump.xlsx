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lot Feedback Week 1" sheetId="1" r:id="rId5"/>
    <sheet state="visible" name="Pilot Feedback Week 2" sheetId="2" r:id="rId6"/>
    <sheet state="visible" name="Q3 Other" sheetId="3" r:id="rId7"/>
    <sheet state="visible" name="Q5 Other" sheetId="4" r:id="rId8"/>
    <sheet state="visible" name="Q6" sheetId="5" r:id="rId9"/>
    <sheet state="visible" name="Q7" sheetId="6" r:id="rId10"/>
    <sheet state="visible" name="Q10" sheetId="7" r:id="rId11"/>
    <sheet state="visible" name="Q12" sheetId="8" r:id="rId12"/>
    <sheet state="visible" name="Q13 - primary tools" sheetId="9" r:id="rId13"/>
    <sheet state="visible" name="Q14" sheetId="10" r:id="rId14"/>
    <sheet state="visible" name="Q15 Other" sheetId="11" r:id="rId15"/>
    <sheet state="visible" name="Q18 Other" sheetId="12" r:id="rId16"/>
    <sheet state="visible" name="Q21" sheetId="13" r:id="rId17"/>
    <sheet state="visible" name="Q24" sheetId="14" r:id="rId18"/>
  </sheets>
  <definedNames/>
  <calcPr/>
</workbook>
</file>

<file path=xl/sharedStrings.xml><?xml version="1.0" encoding="utf-8"?>
<sst xmlns="http://schemas.openxmlformats.org/spreadsheetml/2006/main" count="1320" uniqueCount="572">
  <si>
    <t>ID</t>
  </si>
  <si>
    <t>Start time</t>
  </si>
  <si>
    <t>Completion time</t>
  </si>
  <si>
    <t>Email</t>
  </si>
  <si>
    <t>Name</t>
  </si>
  <si>
    <t>Last modified time</t>
  </si>
  <si>
    <t>How satisfied have you been with the platform so far?</t>
  </si>
  <si>
    <t>Overall, how easy is it to use Amnesty Community for the things you want to do?</t>
  </si>
  <si>
    <t>Have you used the platform on your mobile phone?</t>
  </si>
  <si>
    <t>How easy is it to use the platform on a mobile phone?</t>
  </si>
  <si>
    <t>Anything else you would like to tell us at this stage?</t>
  </si>
  <si>
    <t>1/30/26 11:56:45</t>
  </si>
  <si>
    <t>1/30/26 11:58:08</t>
  </si>
  <si>
    <t>anonymous</t>
  </si>
  <si>
    <t>Somewhat satisfied</t>
  </si>
  <si>
    <t>Neutral</t>
  </si>
  <si>
    <t>No</t>
  </si>
  <si>
    <t>1/30/26 15:18:29</t>
  </si>
  <si>
    <t>1/30/26 15:18:43</t>
  </si>
  <si>
    <t>Very satisfied</t>
  </si>
  <si>
    <t>Easy</t>
  </si>
  <si>
    <t>1/30/26 16:22:22</t>
  </si>
  <si>
    <t>1/30/26 16:22:56</t>
  </si>
  <si>
    <t>1/30/26 17:56:58</t>
  </si>
  <si>
    <t>1/30/26 18:23:11</t>
  </si>
  <si>
    <t>Neither satisfied nor dissatisfied</t>
  </si>
  <si>
    <t>Difficult</t>
  </si>
  <si>
    <t>Yes</t>
  </si>
  <si>
    <t>I think some of the reason that I’m finding the platform difficult is that I have no experience at all of using any form of social media. I haven’t got my head round who I’m actually posting a message to and though I can see why you’d need the tagging system, am unsure how to use it. I worry that when there are lots of users and there’s loads of information there, it will be even more difficult.
 Despite that, I have managed to do some of the missions (I think!) so not all negative
 I’d like to ask if I’d be able to use the platform to contact just all the Welsh groups in a single post like I do now by email?</t>
  </si>
  <si>
    <t>1/31/26 11:58:57</t>
  </si>
  <si>
    <t>1/31/26 12:09:07</t>
  </si>
  <si>
    <t>I did the missions and was a bit upset at being stymied by the first one as I didn't know what the welcome banner was (and the explanation given in one of the replies didn't map onto what I could see on my screen). I have to admit to a sense of dread at this change as I dislike social media and never know where I am on a platform, how to do what I want to do, or indeed what I am doing, whereas I feel in control when contacting members using email and whatsapp. Similarly, I am not sure how I feel about being in touch with loads of people I don't know and sharing details about myself with them. I love the people in my local group and love seeing them and working with them, but that is in real life and I have so much on - do I really want a load of extra stuff being directed at me? However, maybe my fears are driven by ignorance. I will try to pull myself together and master it. And of course I do want effective and efficient ways to disseminate Amnesty's messages. Abi said it would cut down on admin so if that proves to be the case it will be good.</t>
  </si>
  <si>
    <t>1/31/26 14:33:20</t>
  </si>
  <si>
    <t>1/31/26 14:34:36</t>
  </si>
  <si>
    <t>Extremely easy</t>
  </si>
  <si>
    <t>2/15/26 16:30:43</t>
  </si>
  <si>
    <t>2/15/26 16:31:18</t>
  </si>
  <si>
    <t>2/17/26 14:05:08</t>
  </si>
  <si>
    <t>2/17/26 14:05:22</t>
  </si>
  <si>
    <t>At this point I am just trying to find my way around the site - setting up my profile, showing my interest in lgbt &amp; anti-racism streams &amp; receiving the news from AI South West. It is confusing to me at this stage but I will persist and review the training notes sent me by Abi as I felt the online training was very rushed.</t>
  </si>
  <si>
    <t>Satsifaction</t>
  </si>
  <si>
    <t>Of the 38 signups we had in the first week</t>
  </si>
  <si>
    <t>Somewhat satsified</t>
  </si>
  <si>
    <t>12 people responded, approx 32%.</t>
  </si>
  <si>
    <t>Somewhat dissatisfied</t>
  </si>
  <si>
    <t>Very dissatisfied</t>
  </si>
  <si>
    <t>Ease of use</t>
  </si>
  <si>
    <t>Extremely difficult</t>
  </si>
  <si>
    <t>Mobile use</t>
  </si>
  <si>
    <t>yes</t>
  </si>
  <si>
    <t>1 difficult</t>
  </si>
  <si>
    <t>no</t>
  </si>
  <si>
    <t>1 neutral</t>
  </si>
  <si>
    <t>1 easy</t>
  </si>
  <si>
    <t>How many mission tasks have you managed to complete so far?</t>
  </si>
  <si>
    <t>What features can you see yourself using (or have used) regularly?</t>
  </si>
  <si>
    <t>How secure do you feel the platform is?</t>
  </si>
  <si>
    <t>How easy is the platform to navigate?</t>
  </si>
  <si>
    <t>What do you feel works well on the platform?</t>
  </si>
  <si>
    <t>What do you feel needs improvement on the platform?</t>
  </si>
  <si>
    <t>How likely are you to recommend the platform to other activists?</t>
  </si>
  <si>
    <t>Most of the missions</t>
  </si>
  <si>
    <t>Topics ;Calendar &amp; Events ;Announcements ;Tags;</t>
  </si>
  <si>
    <t>Very secure</t>
  </si>
  <si>
    <t>Being able to locate and chat with other activists</t>
  </si>
  <si>
    <t>Some of the functionality isn't completely obvious to me yet</t>
  </si>
  <si>
    <t>Some of the missions</t>
  </si>
  <si>
    <t>Private messaging ;Calendar &amp; Events ;Map ;Topics ;Announcements ;</t>
  </si>
  <si>
    <t>Neither secure or unsecure</t>
  </si>
  <si>
    <t>In general I love the way that this will increase visibility between activists and hopefully inspire more IRL connections and collaborations.</t>
  </si>
  <si>
    <t>I feel that the UX is not as intuitive or streamlined as it could be. For example, I tried to reply to a post and it appeared to come out as a separate post - I couldn't tell whether it had come up as a 'reply' or not. Replies usually have a slight indentation to differentiate them from free-standing posts. In my case, I couldn't see the difference between free-standing vs reply. It just caused a bit of confusion and left me wondering whether the person I was replying to would see my post.</t>
  </si>
  <si>
    <t>Topics ;Map ;Calendar &amp; Events ;Announcements ;</t>
  </si>
  <si>
    <t>Unsecure</t>
  </si>
  <si>
    <t>links with other groups</t>
  </si>
  <si>
    <t>finding posts</t>
  </si>
  <si>
    <t>All of the missions</t>
  </si>
  <si>
    <t>Topics ;Calendar &amp; Events ;Announcements ;</t>
  </si>
  <si>
    <t>secure</t>
  </si>
  <si>
    <t>The help pages have been useful</t>
  </si>
  <si>
    <t>Some of the terminology.
 I think there are a few discussions in the various missions about this. But I will also say that the team are responding quickly to the questions, which is of course the point of the pilot.
 I would be a bit wary of sharing with someone who has little previous Teams/wiki/editing experience, without a lot of hand-holding at this stage. I think it is likely to get better, however!</t>
  </si>
  <si>
    <t>Map ;Calendar &amp; Events ;Announcements ;Mentions ;Tags;</t>
  </si>
  <si>
    <t>["To get work done. Not sure what you mean by online community. I'm thinking of Whatsapp groups.","",""]</t>
  </si>
  <si>
    <t>["Mostly happened in covid"]</t>
  </si>
  <si>
    <t>["Only way to participate in a particular initiative"]</t>
  </si>
  <si>
    <t>["","","Updating each other &amp; making arrangements for events. "]</t>
  </si>
  <si>
    <t>["Just general chat."]</t>
  </si>
  <si>
    <t>["","","","","creating impact"]</t>
  </si>
  <si>
    <t>["Organising.","","",""]</t>
  </si>
  <si>
    <t>["","","","peer , leeping up with local events"]</t>
  </si>
  <si>
    <t>["meeting with fellow volunteers for a charity"]</t>
  </si>
  <si>
    <t>["keeping in contact with people i knew off line such as with facebook including the facebook group for my old school",""]</t>
  </si>
  <si>
    <t>["","","","","Human Rights education "]</t>
  </si>
  <si>
    <t>["book clubs"]</t>
  </si>
  <si>
    <t>["","Planning events"]</t>
  </si>
  <si>
    <t>["Work mainly"]</t>
  </si>
  <si>
    <t>["Not familiar with the above"]</t>
  </si>
  <si>
    <t>["Game attachments."]</t>
  </si>
  <si>
    <t>Notetaking surveying and collaborative tools like Padlet, AI transcribing and Mentimeter</t>
  </si>
  <si>
    <t>A person in the group was going through a challenging time, so I very politely and nicely mentioned that my church was a place of love. Very sadly another person didn't like my post and verbally and angrily attacked me for posting it. Since that time I haven't posted very much over the past year or so. The person who verbally attacked me could have just simply scrolled past my post if they didn't like it. Verbally and angrily attacking me wasn't necessary. I reported this behavior to the group admins.</t>
  </si>
  <si>
    <t>Getting rid of posts by people that become rude or insulting and anyone that never answers any points I make but persists in repeating the same falsehoods even though they provide no evidence.</t>
  </si>
  <si>
    <t>hate speech</t>
  </si>
  <si>
    <t>To bring students attention to what is acceptable online and how to stay safe.</t>
  </si>
  <si>
    <t>It is of real benefit for comprehensive community awareness</t>
  </si>
  <si>
    <t>It was an online group on Facebook and some members were using the group for private commercial reasons and not for the stated purpose. The flagging system helped to warn the group admins so that they could delete the post and give a warning notice to the member.</t>
  </si>
  <si>
    <t>Content moderation has been helpful in the past with larger platforms and filtering/hiding negative posts</t>
  </si>
  <si>
    <t>yes. it has been dealt with effectively by having skilled organisers admining the groups who have time to intervene if things start to go wrong</t>
  </si>
  <si>
    <t>Yes. Bigotted comments. Unwanted spam. Misinformation</t>
  </si>
  <si>
    <t>Misinformation and people entering with the aim of advertising their business rather than being genuine members of the group</t>
  </si>
  <si>
    <t>Usually Misinformation</t>
  </si>
  <si>
    <t>Yes.</t>
  </si>
  <si>
    <t>Yes, misinformation in relation to Bosnian War</t>
  </si>
  <si>
    <t>Misinformation</t>
  </si>
  <si>
    <t>no - they are closed, small communities</t>
  </si>
  <si>
    <t>A person in the group was going through a challenging time, so I very politely and nicely mentioned that my church was a place of love. Very sadly another person didn't like my post and verbally attacked me for posting it. Since that time I haven't posted very much over the past year or so. The person who verbally attacked me could have just simply scrolled past my post if they didn't like it. Verbally attacking me wasn't necessary.</t>
  </si>
  <si>
    <t>No I haven't</t>
  </si>
  <si>
    <t>I've had a few minor unkind things said on Facebook. Didn't really bother me too much.</t>
  </si>
  <si>
    <t>Only group I’ve joined is family, so no.</t>
  </si>
  <si>
    <t>Yes, others becoming aggressive and personal and belittling views whilst insisting their views are correct despite not being evidenced.</t>
  </si>
  <si>
    <t>Have had a "pile-on" of trolls in the past</t>
  </si>
  <si>
    <t>Of course; anyone campaigning on topics like the climate, environment, justice, the NHS will inevitable attract not just counter point of view, but insults And sadly, rarely but even threats.</t>
  </si>
  <si>
    <t>Yes offensive content</t>
  </si>
  <si>
    <t>Yes, seeing misinformation and while I've not had direct harassment, I have seen a lot of distressing content/disciminatory language.</t>
  </si>
  <si>
    <t>Too many random posts if group gets too big.</t>
  </si>
  <si>
    <t>No. I don't subscribe to any social media</t>
  </si>
  <si>
    <t>zionist bias</t>
  </si>
  <si>
    <t>No, but sometimes others are reporting my posts on Meta/ facebook/.</t>
  </si>
  <si>
    <t>the local community group to my city has had very disrespectful comments towards the university encampment. and any protest action. some of the things said reach over into hate speech and personal attacks against the students/ anyone associated with them. some include zionist misinformation, or other lies about palestine.</t>
  </si>
  <si>
    <t>No negative experiences</t>
  </si>
  <si>
    <t>Not directed to me personally, so far. If I find posts with a lot of unfair negative comments, I call it out and consider whether to leave the group</t>
  </si>
  <si>
    <t>There is no such type of petition</t>
  </si>
  <si>
    <t>Yes. Mild abuse.Inconsequential.</t>
  </si>
  <si>
    <t>a wattsapp group i was a member of got hacked by a fraudster</t>
  </si>
  <si>
    <t>Yes, the harassment came from the general public and the police themselves who looked at our colours of dark skinned people. I would like this discrimination comes to an end.</t>
  </si>
  <si>
    <t>too much trivia</t>
  </si>
  <si>
    <t>During a community health outreach in rural Kisumu, the team used digital data collection tools like KoboToolbox on mobile phones to gather information on adolescent access to reproductive health services. These tools allowed for real-time data entry and immediate visualization of trends. As a result, the team could quickly identify areas with the greatest need and adjust their outreach strategy on the spot, making the intervention more effective and targeted.</t>
  </si>
  <si>
    <t>No - the online events such as training and planning is to support the activism on the ground</t>
  </si>
  <si>
    <t>Good grief yes - use any social media and that goes with the territory - it's why I gave up the vile twitter / x</t>
  </si>
  <si>
    <t>just boredom</t>
  </si>
  <si>
    <t>Misinformation, yes, but it was obvious and ignored.</t>
  </si>
  <si>
    <t>Yes, unfortunately, on Facebook. Thta's why I decided to leave the platform.</t>
  </si>
  <si>
    <t>being ignored on purpose because of “pronouns in bio”</t>
  </si>
  <si>
    <t>Yes, offline dooxing due to my activism online.</t>
  </si>
  <si>
    <t>Yes - trolling and online misogyny/hate speech</t>
  </si>
  <si>
    <t>reddit</t>
  </si>
  <si>
    <t>Platform</t>
  </si>
  <si>
    <t>Count</t>
  </si>
  <si>
    <t>Social</t>
  </si>
  <si>
    <t>Nationbuilder</t>
  </si>
  <si>
    <t>Facebook</t>
  </si>
  <si>
    <t>slack, discord, signal, reddit</t>
  </si>
  <si>
    <t>Google</t>
  </si>
  <si>
    <t>I don't remember what it's called but I was part of the Extinction Rebellion France community platform that we used to call 'the base'</t>
  </si>
  <si>
    <t>LinkedIn</t>
  </si>
  <si>
    <t>Samaritans</t>
  </si>
  <si>
    <t>Nextdoor</t>
  </si>
  <si>
    <t>FaceBook groups</t>
  </si>
  <si>
    <t>Futurelearn, Open University, Team Body Project, ICE (Cambridge Institute of Continuing Education), ClimateFresk</t>
  </si>
  <si>
    <t>Forum</t>
  </si>
  <si>
    <t>AIUK's own one for educators, Restless Development I think had a learning focus one (not sure which platform), some other activist spaces I have been use Whatsapp</t>
  </si>
  <si>
    <t>Reddit</t>
  </si>
  <si>
    <t>Slack</t>
  </si>
  <si>
    <t>Quora</t>
  </si>
  <si>
    <t>Football supporting</t>
  </si>
  <si>
    <t>Discord</t>
  </si>
  <si>
    <t>Chat platform</t>
  </si>
  <si>
    <t>Can’t remember name</t>
  </si>
  <si>
    <t>Google groups</t>
  </si>
  <si>
    <t>Wikipedia</t>
  </si>
  <si>
    <t>National Trust</t>
  </si>
  <si>
    <t>Wikipedia, YahooGroups, Io Groups</t>
  </si>
  <si>
    <t>WhatsApp</t>
  </si>
  <si>
    <t>chat apps</t>
  </si>
  <si>
    <t>Felixstowe The Residents Pagecon Facebook and Slimming World group on Gacebook</t>
  </si>
  <si>
    <t>88 responses</t>
  </si>
  <si>
    <t>Signal</t>
  </si>
  <si>
    <t>1. Discord 2. JEMA community (for JEMA members only) 2. Facebook groups</t>
  </si>
  <si>
    <t>Telegram</t>
  </si>
  <si>
    <t>Business platforms, Educational platforms, Dutch prisoners' platform</t>
  </si>
  <si>
    <t>Google meet, teams, Jutsi meet et zoom</t>
  </si>
  <si>
    <t>Video</t>
  </si>
  <si>
    <t>Matter most linkedin In</t>
  </si>
  <si>
    <t>Zoom</t>
  </si>
  <si>
    <t>Teams and zoom</t>
  </si>
  <si>
    <t>Teams</t>
  </si>
  <si>
    <t>Reddit, online learning</t>
  </si>
  <si>
    <t>not sure what they were called, but linked to ancestry info</t>
  </si>
  <si>
    <t>I'm not sure how to answer this - depends on the group and the activity - sometimes it is just an email group - or a What'sApp group</t>
  </si>
  <si>
    <t>io groups; Whatsapp; Facebook;</t>
  </si>
  <si>
    <t>BBC, Urban75</t>
  </si>
  <si>
    <t>NextDoor, Facebook Groups, UnHerd</t>
  </si>
  <si>
    <t>Next Door, Slack, Reddit, Facebook groups, LinkedIn groups, Telegram</t>
  </si>
  <si>
    <t>I belong to a local history group, other than that I can't remember them all.</t>
  </si>
  <si>
    <t>Greenpeace</t>
  </si>
  <si>
    <t>Quora and Facebook</t>
  </si>
  <si>
    <t>Reddit, Linktree,</t>
  </si>
  <si>
    <t>Quora, Pinterest</t>
  </si>
  <si>
    <t>Local neighbourhood group and Church WhatsApp</t>
  </si>
  <si>
    <t>WEA &amp; learning platforms. Local projects</t>
  </si>
  <si>
    <t>Nextdoor, Borland Support Fora</t>
  </si>
  <si>
    <t>MS Teams</t>
  </si>
  <si>
    <t>Human Library break out rooms</t>
  </si>
  <si>
    <t>Can’t remember. Just general interest ones</t>
  </si>
  <si>
    <t>reddit, discord</t>
  </si>
  <si>
    <t>Discourse</t>
  </si>
  <si>
    <t>None</t>
  </si>
  <si>
    <t>NIF</t>
  </si>
  <si>
    <t>Canvas, bespoke,</t>
  </si>
  <si>
    <t>Zoom and micro teams</t>
  </si>
  <si>
    <t>Spefic to personal interests</t>
  </si>
  <si>
    <t>Education course discussions, Zoom-style</t>
  </si>
  <si>
    <t>Canvas &amp; others linked to educational organisations.</t>
  </si>
  <si>
    <t>Local forums</t>
  </si>
  <si>
    <t>TEAMS</t>
  </si>
  <si>
    <t>Teams &amp; Zoom.</t>
  </si>
  <si>
    <t>Twitter/X/, Whatsapp, Telegram, Zoom, messenger etc</t>
  </si>
  <si>
    <t>discord</t>
  </si>
  <si>
    <t>OU student forums, next door.</t>
  </si>
  <si>
    <t>Teams meetings</t>
  </si>
  <si>
    <t>Facebook special interest groups (mainly photography/craft skills)</t>
  </si>
  <si>
    <t>Facebook, Neighbours (Leeds and Bradford area)</t>
  </si>
  <si>
    <t>Reddit, Discord</t>
  </si>
  <si>
    <t>College based chat platform when I was studying</t>
  </si>
  <si>
    <t>I don’t have list</t>
  </si>
  <si>
    <t>WhatsApp, Facebook</t>
  </si>
  <si>
    <t>Avaaz, Amnesty,RSF</t>
  </si>
  <si>
    <t>Avaaz,AI,Workers World</t>
  </si>
  <si>
    <t>I no longer remember.</t>
  </si>
  <si>
    <t>Car related, music</t>
  </si>
  <si>
    <t>Facebook Groups – For youth engagement and advocacy discussions. WhatsApp – For coordinating community projects and volunteer groups. Zoom &amp; Google Meet – For virtual trainings, advocacy sessions, and meetings. Slack – For team collaboration during internship and training projects. Trello – For managing tasks during community service and youth campaigns. Telegram – For following human rights and SRHR advocacy channels. LinkedIn – For professional networking and sharing community impact stories.</t>
  </si>
  <si>
    <t>Honestly can't remember</t>
  </si>
  <si>
    <t>facebook, reddit, nextdoor</t>
  </si>
  <si>
    <t>Health unlocked, psych digest,</t>
  </si>
  <si>
    <t>Teams andZoom</t>
  </si>
  <si>
    <t>Facebook; Slack; intranet; Trello</t>
  </si>
  <si>
    <t>STAN Amnesty</t>
  </si>
  <si>
    <t>WhatsApp, Signal</t>
  </si>
  <si>
    <t>Discord, Whatsapp</t>
  </si>
  <si>
    <t>Local</t>
  </si>
  <si>
    <t>Prefer not to say</t>
  </si>
  <si>
    <t>Facebook, instagram, twitter, amnestys education community space (back in the day)</t>
  </si>
  <si>
    <t>slack, discord, signal, telegram, action network</t>
  </si>
  <si>
    <t>you need to intentionally build activist teams to help you with moderation and you need to properly mentor your teams (regular check ins) to make sure they are handling things properly in a way that facilitates more engagement rather than shutting it down</t>
  </si>
  <si>
    <t>I moderated the AIUK education community platform. Our main challenge was getting engagement rather than any issues arising.</t>
  </si>
  <si>
    <t>I tried to keep everything as simple as possible.</t>
  </si>
  <si>
    <t>Educational platform for communication and help among students of law studies</t>
  </si>
  <si>
    <t>J'organise souvent des formations sur les plateformes communautaires en ligne où je donne des cours sous forme de mentorat notamment avec un programme local dans ma province mais j'ai tellement envie d'avoir une accréditation locale pour organiser les activités pour la défense des droits de l'homme au compte d'Amnesty UK</t>
  </si>
  <si>
    <t>Moderating a couple of Facebook groups</t>
  </si>
  <si>
    <t>Afghan community for more than 10 years and Refugee forum for more than 2 years</t>
  </si>
  <si>
    <t>Mostly very easy but at the beginning had to exclude someone due to inappropriate messages and unfounded accusations against others</t>
  </si>
  <si>
    <t>I have very good experience in modareting many groups many timrs.</t>
  </si>
  <si>
    <t>Answering student queries</t>
  </si>
  <si>
    <t>Constructively in order to create integrated content based on community awareness</t>
  </si>
  <si>
    <t>Generally positive. Rules were clear when people signed up and only occasional reminders needed on the moderation side. Some people had to be removed from the group on occasion. But these were flagged to admin and easy to remove.</t>
  </si>
  <si>
    <t>email</t>
  </si>
  <si>
    <t>Email/Letters</t>
  </si>
  <si>
    <t>Chat apps</t>
  </si>
  <si>
    <t>Social Networks</t>
  </si>
  <si>
    <t>Meetings</t>
  </si>
  <si>
    <t>emails and WhatsApp</t>
  </si>
  <si>
    <t>Email Facebook and X</t>
  </si>
  <si>
    <t>Facebook, Bluesksy</t>
  </si>
  <si>
    <t>Email, WhatsApp, Telegram</t>
  </si>
  <si>
    <t>emails</t>
  </si>
  <si>
    <t>Whatsapp, email</t>
  </si>
  <si>
    <t>Facebook; X, Instagram and email</t>
  </si>
  <si>
    <t>Mainly emails for my local group (and its broader mailing list) and Wales network (with a bit of WhatsApp in my local group).</t>
  </si>
  <si>
    <t>WhatsApp, Facebook and email</t>
  </si>
  <si>
    <t>WhatsApp and Facebook</t>
  </si>
  <si>
    <t>whatsapp</t>
  </si>
  <si>
    <t>N/A</t>
  </si>
  <si>
    <t>WhatsApp, online petitions etc</t>
  </si>
  <si>
    <t>Words</t>
  </si>
  <si>
    <t>prayer, learning and just reading up online</t>
  </si>
  <si>
    <t>Facebook, WhatsApp, LinkedIn, X</t>
  </si>
  <si>
    <t>Email Facebook X</t>
  </si>
  <si>
    <t>email, signal, text</t>
  </si>
  <si>
    <t>I like and use the Urgent Action emails on the Amnesty International UK website. The email function is very easy and convenient. I also love posting old fashioned snail mail letters for the Urgent Actions as well as email.</t>
  </si>
  <si>
    <t>Demonstrations, letter/email writing</t>
  </si>
  <si>
    <t>Website</t>
  </si>
  <si>
    <t>Signal and Mattermost</t>
  </si>
  <si>
    <t>Slack, WhatsApp</t>
  </si>
  <si>
    <t>e-mail</t>
  </si>
  <si>
    <t>emails, phone, meetings</t>
  </si>
  <si>
    <t>Messaging apps</t>
  </si>
  <si>
    <t>Email and WhatsApp</t>
  </si>
  <si>
    <t>VOICE AND EMAIL</t>
  </si>
  <si>
    <t>Whatsapp &amp; email</t>
  </si>
  <si>
    <t>Amnesty International website and avaaz website.</t>
  </si>
  <si>
    <t>Email and whatsapp</t>
  </si>
  <si>
    <t>email whatsapp zoom</t>
  </si>
  <si>
    <t>??</t>
  </si>
  <si>
    <t>email zoom meetings</t>
  </si>
  <si>
    <t>Not clear what this questions looking for, have already identified some of the web facilities used</t>
  </si>
  <si>
    <t>E-mails.</t>
  </si>
  <si>
    <t>Primary tools? I don’t understand the question.</t>
  </si>
  <si>
    <t>Amnesty Urgent Actions. Online petitions. Guardian btl comments, emails to Guardian editor</t>
  </si>
  <si>
    <t>I don't understand this question: I am not aware of any tools.</t>
  </si>
  <si>
    <t>Email whatsapp f2f meetings</t>
  </si>
  <si>
    <t>Email, WhatsApp Group Chats</t>
  </si>
  <si>
    <t>Posters, collection box, personal debate,</t>
  </si>
  <si>
    <t>teams telegraph slack</t>
  </si>
  <si>
    <t>I am retired</t>
  </si>
  <si>
    <t>In person events, country campaign groups</t>
  </si>
  <si>
    <t>Email, Facebook, Bluesky (was on twitter/x, but it's a cesspit now)</t>
  </si>
  <si>
    <t>Emails, petitions</t>
  </si>
  <si>
    <t>None at present.</t>
  </si>
  <si>
    <t>Phone WhatsApp</t>
  </si>
  <si>
    <t>WhatsApp &amp; email</t>
  </si>
  <si>
    <t>Email, telephone, face-to-face</t>
  </si>
  <si>
    <t>signal, in person meetings, zoom, teams</t>
  </si>
  <si>
    <t>Sign petitions</t>
  </si>
  <si>
    <t>Whatsapp e-mails monthly meetings</t>
  </si>
  <si>
    <t>Email, WhatsApp</t>
  </si>
  <si>
    <t>Email; have sent letters by post/fax/email in your previous Write for Rights campaigns/urgent appeals.</t>
  </si>
  <si>
    <t>Emails</t>
  </si>
  <si>
    <t>WhatsApp, Substack, Bluesky, Threads.</t>
  </si>
  <si>
    <t>emails and facebook</t>
  </si>
  <si>
    <t>Email petitions and letters, writing letters to MPs, companies, organisations etc.</t>
  </si>
  <si>
    <t>Whatsapp communities function, greenwire</t>
  </si>
  <si>
    <t>email; text message</t>
  </si>
  <si>
    <t>emails, WhatsApp.</t>
  </si>
  <si>
    <t>Email WhatsApp</t>
  </si>
  <si>
    <t>No answer</t>
  </si>
  <si>
    <t>Whatsapp</t>
  </si>
  <si>
    <t>In person and events</t>
  </si>
  <si>
    <t>on-line petitions [typically click to support a petition]; e-mail sending; letter writing; occasionally join a forum;</t>
  </si>
  <si>
    <t>Just online study programs</t>
  </si>
  <si>
    <t>Email/Facebook</t>
  </si>
  <si>
    <t>whatsapp and email</t>
  </si>
  <si>
    <t>I don't understand what a "tool" is!</t>
  </si>
  <si>
    <t>Emails either directly from Amnesty or via the local group</t>
  </si>
  <si>
    <t>On line</t>
  </si>
  <si>
    <t>Email, or physical letters.</t>
  </si>
  <si>
    <t>Instagram/Facebook and email but I don't tend to post, I just consume information</t>
  </si>
  <si>
    <t>ASK my GP</t>
  </si>
  <si>
    <t>I wouldn't call myself an activist. I attend vigils &amp; the occasional march.</t>
  </si>
  <si>
    <t>email and face to face</t>
  </si>
  <si>
    <t>X LinkedIn</t>
  </si>
  <si>
    <t>Email.</t>
  </si>
  <si>
    <t>facebook, whatsapp, signal, emails, in person meetings.</t>
  </si>
  <si>
    <t>Linkedin.</t>
  </si>
  <si>
    <t>Bluesky, Twitter and online petitions</t>
  </si>
  <si>
    <t>To help me get wi so that I can leave my current lifestyle</t>
  </si>
  <si>
    <t>emails and petitions letters to MPs etc</t>
  </si>
  <si>
    <t>Email. Face to face meetings</t>
  </si>
  <si>
    <t>Plain old text and Email</t>
  </si>
  <si>
    <t>Responding to email requests for support</t>
  </si>
  <si>
    <t>Not involved in activist communications</t>
  </si>
  <si>
    <t>letter writing, emails, signing petitions, posting on insta.</t>
  </si>
  <si>
    <t>Face to face Emails</t>
  </si>
  <si>
    <t>Monthly letter writing with the Oxford group.</t>
  </si>
  <si>
    <t>Emails, websites</t>
  </si>
  <si>
    <t>Facebook and email</t>
  </si>
  <si>
    <t>Email &amp; websites</t>
  </si>
  <si>
    <t>Signing petitions, emailing local MP or ministers</t>
  </si>
  <si>
    <t>Online petitions</t>
  </si>
  <si>
    <t>WhatsApp Email</t>
  </si>
  <si>
    <t>Internet</t>
  </si>
  <si>
    <t>Face to face Our own online radio show Mobile Landline WhatsApp</t>
  </si>
  <si>
    <t>Commentary, analysis, criticism.</t>
  </si>
  <si>
    <t>Email, zoom, teams, Google drive</t>
  </si>
  <si>
    <t>Commentary,analysis, criticism</t>
  </si>
  <si>
    <t>Facebook or emails whatsapp</t>
  </si>
  <si>
    <t>facebook and x</t>
  </si>
  <si>
    <t>Cellular phone Megaphones</t>
  </si>
  <si>
    <t>Email or WhatsApp</t>
  </si>
  <si>
    <t>Emails , sharing on social media , friends</t>
  </si>
  <si>
    <t>I get emails from a local amnesty group but I often miss them. I get emails from amnesty as well and act on those emails when I see them.</t>
  </si>
  <si>
    <t>X and email</t>
  </si>
  <si>
    <t>Emails from Amnesty or Equality Now</t>
  </si>
  <si>
    <t>Website Email What's App</t>
  </si>
  <si>
    <t>Signing petitions online.</t>
  </si>
  <si>
    <t>Zoom, Teams</t>
  </si>
  <si>
    <t>?</t>
  </si>
  <si>
    <t>emails, meetings and face to face</t>
  </si>
  <si>
    <t>E-mail</t>
  </si>
  <si>
    <t>FACEBOOK , INSTAGRAM</t>
  </si>
  <si>
    <t>in person with placard</t>
  </si>
  <si>
    <t>Instagram, LinkedIn, Email</t>
  </si>
  <si>
    <t>email whatsapp</t>
  </si>
  <si>
    <t>instagram, email</t>
  </si>
  <si>
    <t>Email marketing (mailchimp), offline options (posters etc), social media (Facebook, Instagram, X - to varying degrees of success!)</t>
  </si>
  <si>
    <t>Surveys, petitions, questionnaires, reading position statements and providing feedback.</t>
  </si>
  <si>
    <t>Emails, phone calls and,letters</t>
  </si>
  <si>
    <t>email and watsap</t>
  </si>
  <si>
    <t>Petitions via emails, posters in windows, demonstrations, marches</t>
  </si>
  <si>
    <t>email, word of mouth</t>
  </si>
  <si>
    <t>Whatsapp and emails</t>
  </si>
  <si>
    <t>I write blogs once every month to educate people about the situation in Jammu Kashmir and Allied Areas. I also use my social media account to share information and do activism.</t>
  </si>
  <si>
    <t>Email, Whatsapp, Calls, SMS, TEAMs</t>
  </si>
  <si>
    <t>social media mostly</t>
  </si>
  <si>
    <t>Email and Whatsapp</t>
  </si>
  <si>
    <t>WhatsApp, Signal, Email, Texts</t>
  </si>
  <si>
    <t>WhatsApp and e-mail</t>
  </si>
  <si>
    <t>physical meetings, emails and Whatsapp</t>
  </si>
  <si>
    <t>Face to face local group and online meeting for our national network. Also complete phone or online urgent actions.</t>
  </si>
  <si>
    <t>WhatsApp, emails and website posts, plus X, Facebook and Instagram posts</t>
  </si>
  <si>
    <t>whatsapp, email, signal</t>
  </si>
  <si>
    <t>["","","Checked someone’s profile page","Started a new discussion / thread","DM’d someone"]</t>
  </si>
  <si>
    <t>["",""," ","Replied to a discussion / thread"," "]</t>
  </si>
  <si>
    <t>[" ","Translated campaign messaging into another language (formally or informally)"," ",""," "]</t>
  </si>
  <si>
    <t>["R ","Responded to polls"]</t>
  </si>
  <si>
    <t>[" "," ","  ","R ",""," ","Petitions, letters to MP and others"]</t>
  </si>
  <si>
    <t>["none"]</t>
  </si>
  <si>
    <t>[" ","","written emails"]</t>
  </si>
  <si>
    <t>["","Signed petitions "]</t>
  </si>
  <si>
    <t>["","  "," ","I speak different languages "]</t>
  </si>
  <si>
    <t>["None"]</t>
  </si>
  <si>
    <t>["","","Attended meetings"]</t>
  </si>
  <si>
    <t>[" ","","supported a petition"]</t>
  </si>
  <si>
    <t>[" ","R ",""," ",""," ","Co-organised political action."]</t>
  </si>
  <si>
    <t>["signed petitions"]</t>
  </si>
  <si>
    <t>["Simply read e-mails to keep informed"]</t>
  </si>
  <si>
    <t>["None of above"]</t>
  </si>
  <si>
    <t>["Listened to talk and/or discussion"]</t>
  </si>
  <si>
    <t>["","Shared Files, collaborated on content, requested feedback on files"]</t>
  </si>
  <si>
    <t>["signed online petition"]</t>
  </si>
  <si>
    <t>["nothing"]</t>
  </si>
  <si>
    <t>[" ","","Emails , sharing , signing petitions "]</t>
  </si>
  <si>
    <t>[" ","","Designed and shared a group newsletter with members of the local group"]</t>
  </si>
  <si>
    <t>[" ","R ","Added my name to petitions here and abroad, and written to overseas decision makers"]</t>
  </si>
  <si>
    <t>["","R "," ","protests and face to face meetings"]</t>
  </si>
  <si>
    <t>["letter writing"]</t>
  </si>
  <si>
    <t>[""This is not purely in an Amnesty context but fir work as well."]</t>
  </si>
  <si>
    <t>["I don't know "]</t>
  </si>
  <si>
    <t>[" ","Find information and new perspectives"," "]</t>
  </si>
  <si>
    <t>["Not sure would get involved"]</t>
  </si>
  <si>
    <t>["Ive never used AI"]</t>
  </si>
  <si>
    <t>["Sorry, I wouldn’t use an online platform"]</t>
  </si>
  <si>
    <t>["Sorry: ALL of the above, actually!"]</t>
  </si>
  <si>
    <t>["It is unlikely I would get involved"]</t>
  </si>
  <si>
    <t>["I wdnt use it. "]</t>
  </si>
  <si>
    <t>"Fund raising offer"]</t>
  </si>
  <si>
    <t>["Keep abreast"]</t>
  </si>
  <si>
    <t>["Sorry - i am not young and will not be doing anything else"]</t>
  </si>
  <si>
    <t>["Do not use online community platforms "]</t>
  </si>
  <si>
    <t>[" ","","Finding out about events"]</t>
  </si>
  <si>
    <t>["I don't think I'd use it."]</t>
  </si>
  <si>
    <t>["Communications "]</t>
  </si>
  <si>
    <t>["not sure exactly what you mean by community platform. "]</t>
  </si>
  <si>
    <t>["Share education materials "]</t>
  </si>
  <si>
    <t>En RDC</t>
  </si>
  <si>
    <t>Central Africa</t>
  </si>
  <si>
    <t>Bermuda</t>
  </si>
  <si>
    <t>Zambia</t>
  </si>
  <si>
    <t>KENYA</t>
  </si>
  <si>
    <t>Activism Events Manager</t>
  </si>
  <si>
    <t>Local group position</t>
  </si>
  <si>
    <t>Staff</t>
  </si>
  <si>
    <t>Youth Collective</t>
  </si>
  <si>
    <t>Group chairman</t>
  </si>
  <si>
    <t>local group secretary</t>
  </si>
  <si>
    <t>Country Coordinator</t>
  </si>
  <si>
    <t>Active member of the UN Network; Kent Network and Guantanamo Network</t>
  </si>
  <si>
    <t>Country Coordinator; chair of group</t>
  </si>
  <si>
    <t>Vice Chair of AIUK Section Board, Chair of Building a Powerful Movement sub-committee, Treasurer of my local group.</t>
  </si>
  <si>
    <t>Activism Rep, group membership secretary</t>
  </si>
  <si>
    <t>Treasurer for local group</t>
  </si>
  <si>
    <t>Local group chairman</t>
  </si>
  <si>
    <t>treasurer of a local group</t>
  </si>
  <si>
    <t>Formal within AIUK</t>
  </si>
  <si>
    <t>Local group Chair Person</t>
  </si>
  <si>
    <t>Group secretary</t>
  </si>
  <si>
    <t>Coordination of refugee campaigning in local group (mid Gloucestershire)</t>
  </si>
  <si>
    <t>Chair Wells A I group</t>
  </si>
  <si>
    <t>Coordinate activities in local group for children. But as the network does virtually nothing for children the post is virtually redundant</t>
  </si>
  <si>
    <t>Chair ADPP. Member of BPM sub-committee</t>
  </si>
  <si>
    <t>Local group treasurer, minutes secretary</t>
  </si>
  <si>
    <t>Human Rights Defence</t>
  </si>
  <si>
    <t>Local group treasurer</t>
  </si>
  <si>
    <t>AI Rep for Parliamentary Constituency</t>
  </si>
  <si>
    <t>Chair of local group</t>
  </si>
  <si>
    <t>Amnesty International</t>
  </si>
  <si>
    <t>Treasurer</t>
  </si>
  <si>
    <t>Chair of a local group</t>
  </si>
  <si>
    <t>Member of the Standing Orders Committee</t>
  </si>
  <si>
    <t>local group treasurer</t>
  </si>
  <si>
    <t>Chair a local group.</t>
  </si>
  <si>
    <t>Secretary of local group</t>
  </si>
  <si>
    <t>Treasurer for my local group</t>
  </si>
  <si>
    <t>South East Activism Representative (lead activist)</t>
  </si>
  <si>
    <t>I am a climate Justice and Sustainability STAN Officer and one of the two Midlands Rep. My responsibility is to reach out to other student amnesty societies regarding Amnesty UK’s Climate justice Campaigns and get them to engage.</t>
  </si>
  <si>
    <t>Employed</t>
  </si>
  <si>
    <t>I sit on BPM and am Chair of TUNC</t>
  </si>
  <si>
    <t>Member of staff</t>
  </si>
  <si>
    <t>STAN - Disability &amp; Midlands</t>
  </si>
  <si>
    <t>Section Board member national lead activist = country coordinator</t>
  </si>
  <si>
    <t>Am Chair of our local group, am the London Region Activism representative, will be an AIUK Section Board member from 25 July 2025. Also sit on the Building a Powerful Movement subcommittee.</t>
  </si>
  <si>
    <t>Education officer responsible for teahcers and schools. Previously a teacher and activist before moving to work here.</t>
  </si>
  <si>
    <t>community organiser, local activism</t>
  </si>
  <si>
    <t>Please allow us to tell fellow activists about our campaigns. Currently it is impossible if the campaigns are outside of the constrained strategy. Activists want to know about our campaigns and participate. Currently it is impossible.</t>
  </si>
  <si>
    <t>member of local group, previous school speaker, ACEN MP advocate for Kettering and Corby</t>
  </si>
  <si>
    <t>When organising across a geographical patch (e.g. Wales) it has been very difficult to reach AIUK members without using a formal (and lengthy) comms process through central office.</t>
  </si>
  <si>
    <t>I have been a country coordinator, school speaker and engaged with my local group for over a decade. I also have some experience in IT.</t>
  </si>
  <si>
    <t>Amnesty Teacher (Teacher Advisory Group</t>
  </si>
  <si>
    <t>responding to emails to prevent executions; writing letters to those in prison</t>
  </si>
  <si>
    <t>I don't use any social media sites</t>
  </si>
  <si>
    <t>Letter- and e-mail-writing.</t>
  </si>
  <si>
    <t>I especially like your Urgent Actions, and often send Urgent Actions emails and snail mail letters.</t>
  </si>
  <si>
    <t>Member of local group and Amnesty Central England Network (ACEN)</t>
  </si>
  <si>
    <t>At the moment, the only thing I do is write letters. From next year I will have more time, and I look forward to do more.</t>
  </si>
  <si>
    <t>I have been with the Truro &amp; Disct. Amnesty Group for 30 plus years. I dothe booking of stalls &amp; street collections .</t>
  </si>
  <si>
    <t>Je suis militant</t>
  </si>
  <si>
    <t>I'm a retired solicitor but have no professional experience of human rights litigation. I closely follow the trials of climate activists in England</t>
  </si>
  <si>
    <t>NO</t>
  </si>
  <si>
    <t>I just donate monthly and participate by responding to urgent actions</t>
  </si>
  <si>
    <t>I think that all human beings should have human rights.</t>
  </si>
  <si>
    <t>I am a local group activist but I am not sure that I would be able to tell you much. We mainly use email., google groups and and whatsapp. I attempt to use instagram a bit and I post information on facebook and our groups webpage. Nothing very exciting!</t>
  </si>
  <si>
    <t>mainly writing letters / emails; supporting the local amnesty group</t>
  </si>
  <si>
    <t>Peripheral involvement for 40-50 years but not particularly active.</t>
  </si>
  <si>
    <t>I really don't know what you want from me.</t>
  </si>
  <si>
    <t>I do my best but always feel it is not enogh.</t>
  </si>
  <si>
    <t>Find the web site user unfriendly</t>
  </si>
  <si>
    <t>Liaise with the cathedral over amnesty and with Oxfam over joint meetings</t>
  </si>
  <si>
    <t>Concerned as a long term supporter that Amnesty International may be moving away from its core role. I hope that activists will concentrate their attention on helping those wrongly imprisoned or facing death threats.</t>
  </si>
  <si>
    <t>My engagement with AIUK gets less and less and if it weren’t for the North Africa campaign group who are active I would leave Amnesty. There’s so much about AIUK that I don’t like and do not agree with my energies are better spent with other organisations</t>
  </si>
  <si>
    <t>Former AIUK board member, former member of activism subcommittee, former country coordinator- stepped down for health reasons</t>
  </si>
  <si>
    <t>I don’t know about ALUK .</t>
  </si>
  <si>
    <t>Too many privacy reservations to want to</t>
  </si>
  <si>
    <t>I have marched withn AIUK in the Million Woman Rise March and am interested specifically in womens’ rights.</t>
  </si>
  <si>
    <t>I am a solitary individual and forums (fora?) aren't really me.</t>
  </si>
  <si>
    <t>I am chair of Amnesty Mid Glos Group since Feb 2024</t>
  </si>
  <si>
    <t>I'm an individual, not an organisation</t>
  </si>
  <si>
    <t>I’m afraid my engagement is very minimal - a signature here and there, maybe an email or letter.</t>
  </si>
  <si>
    <t>I'm the new chair of the Nottingham group</t>
  </si>
  <si>
    <t>Human rights teacher's course participant</t>
  </si>
  <si>
    <t>n/a</t>
  </si>
  <si>
    <t>I'm enjoying defending the vulnerable in their legal maters, Consultancy and Counseling and release of innocent people people from detention</t>
  </si>
  <si>
    <t>Gamify actions making it easy to see what you have/haven't done and where possible enable within single app</t>
  </si>
  <si>
    <t>Help me get justice for my group of disabled women from South Asian community</t>
  </si>
  <si>
    <t>Basicaly, my participación has been to participate in leytercerting campaigns, Write for Rights. Ocassional donations. I’m almost 85 years old, and not as active as I used to be.</t>
  </si>
  <si>
    <t>I have been part of a local group since 2016. I have sometimes found it challenging to fit Amnesty volunteering around full time work and other commitments, so an online platform is quite appealing.</t>
  </si>
  <si>
    <t>I'm retired</t>
  </si>
  <si>
    <t>Na</t>
  </si>
  <si>
    <t>Member of local group. Member of Amnesty since 1980s</t>
  </si>
  <si>
    <t>I just pay a monthly subscription..used to be in a local group and fundraise but I moved away from the area and there isn't one near me now.</t>
  </si>
  <si>
    <t>I'm politically, socially &amp; practically closely aligned with AI. I do my bit with your campaigns but I'm a nomad &amp; don't have a vote.</t>
  </si>
  <si>
    <t>Am very pleased to be able to participate in urgent action campaigns</t>
  </si>
  <si>
    <t>I donate money sometimes, sign petitions and write letters occasionally</t>
  </si>
  <si>
    <t>I am a student of and an advocate for post-capitalist economics.</t>
  </si>
  <si>
    <t>i live in New Zealand but still support AIUK though cannot participate in local activities</t>
  </si>
  <si>
    <t>Yes, i have alot of issues that i would like to share with Amnesty International, but for now, it better to tell you only about my role. My role is action Campaign by signing petition and sometimes by letter writing. This my current role with Amnest International. But i don't know for the future.</t>
  </si>
  <si>
    <t>i'm not the sort of person who likes to be in charge of things. i am very much a supporting role kind of person. happy to do most things but never leading.</t>
  </si>
  <si>
    <t>There is a lot of literature associated with Human Rights, this can be a bit daunting to say the least.</t>
  </si>
  <si>
    <t>My engagement involves responding to email requests, attending public demonstrations and supporting fund raising events</t>
  </si>
  <si>
    <t>Support for groups is less visible than it used to be when we received mail by post, as it can easily be lost amongst all the other, mostly email, communications from so many sources.</t>
  </si>
  <si>
    <t>I support AI’s aims and activities. But at nearly 82, I can no longer take an active role. I strongly recommend that you should allow for people to continue such passive roles, for whatever reasons, and not expect everyone to take an active rile.</t>
  </si>
  <si>
    <t>Not sure only to say I'm a fairly committed member (I hope) and eager to contribute where I can</t>
  </si>
  <si>
    <t>I like to engage with UA suggestions. Particularly capital punishment cases. That's all.</t>
  </si>
  <si>
    <t>With another Amnesty member I have taken the Write for Rights campaign to our 3 local churches for the past 16 years. We have also hosted Amnesty tea parties in the past.</t>
  </si>
  <si>
    <t>Please note that now I am in my 80s and deaf my capacity for action is quite limited</t>
  </si>
  <si>
    <t>I am a member of a local group and help with fundraising</t>
  </si>
  <si>
    <t>A lot</t>
  </si>
  <si>
    <t>I'm a recent member of my local group, new to being an activist and still learning.</t>
  </si>
  <si>
    <t>Heavily engaged elsewhere, am primarily in a supportive role to AIUK</t>
  </si>
  <si>
    <t>From the time I left UK my activists have been done in Zambia where am now living.</t>
  </si>
  <si>
    <t>Student member Of Amnesty ...continued when on dole....but Amnesty.. forgot I was there..no worries...now buy books at Amnsety Bookshop in Edinburgh ...nice people ,good books ...Is Amnesty going to Suport the Appeal to Euro Court re Trans/Binary Human Rights w buy books in very good and friendly Amnesty Bookshop in Edinburgh</t>
  </si>
  <si>
    <t>Actively engaged in youth advocacy, promoting rights and awareness through AIUK's empowering initiatives.</t>
  </si>
  <si>
    <t>Former Council member, country co-ordinator and Group Chair</t>
  </si>
  <si>
    <t>Have been a member since 1988. Have volunteered in the Bristol Bookshop since about 2010. Involved with the Bristol Group for about 15 years with some being on the committee.</t>
  </si>
  <si>
    <t>I don't have a role and am not a member of a local organisation - but interested and open. I was a Labour party member until recently but left in part because of some of their reform lite policies and lack of emphasis on moral issues such as Post Office and Grenfell. Also I work with a local youth refugee group mentoring a refugee.</t>
  </si>
  <si>
    <t>Just a query as to why this is taking so long; it must be several years ago that this was proposed</t>
  </si>
  <si>
    <t>Social Media Officer</t>
  </si>
  <si>
    <t>I've been in touch with Amnesty feminist a couple times to be more invovled (I'm a graphic designer) but I haven't yet heard back</t>
  </si>
  <si>
    <t>I take the minutes at out local meetings and manage the Facebook, Instagram and website. I struggle to create engaging content though and find that FB ads for local events can get blocked be Meta as they are too political</t>
  </si>
  <si>
    <t>I think the myriad ways to engage with AI UK need to be better defined and more clearly explained.</t>
  </si>
  <si>
    <t>I sign petitions, send emails&amp;I also support financially from time to time</t>
  </si>
  <si>
    <t>My role is to engage with local groups in the South East area and support them in their activities</t>
  </si>
  <si>
    <t>Take too long</t>
  </si>
  <si>
    <t>Chair of local group and part of Core group setting up the new ( online) Amnesty South West England Network</t>
  </si>
  <si>
    <t>I belong to a local group.</t>
  </si>
  <si>
    <t>We ran an online education space for our activists for years (built into the back end of the amnesty website). It enabled them to share reosurces and communicate with each other and was utilised. It took significant resources to keep it relevant and I am excited to see what happens with this.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</si>
</sst>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 hh:mm:ss"/>
  </numFmts>
  <fonts count="5">
    <font>
      <sz val="10.0"/>
      <color rgb="FF000000"/>
      <name val="Arial"/>
      <scheme val="minor"/>
    </font>
    <font>
      <b/>
      <sz val="11.0"/>
      <color rgb="FFFFFFFF"/>
      <name val="Calibri"/>
    </font>
    <font>
      <sz val="11.0"/>
      <color rgb="FF000000"/>
      <name val="Calibri"/>
    </font>
    <font>
      <color theme="1"/>
      <name val="Arial"/>
      <scheme val="minor"/>
    </font>
    <font>
      <b/>
      <color theme="1"/>
      <name val="Arial"/>
      <scheme val="minor"/>
    </font>
  </fonts>
  <fills count="4">
    <fill>
      <patternFill patternType="none"/>
    </fill>
    <fill>
      <patternFill patternType="lightGray"/>
    </fill>
    <fill>
      <patternFill patternType="solid">
        <fgColor rgb="FF5B9BD5"/>
        <bgColor rgb="FF5B9BD5"/>
      </patternFill>
    </fill>
    <fill>
      <patternFill patternType="solid">
        <fgColor rgb="FFDDEBF7"/>
        <bgColor rgb="FFDDEBF7"/>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3" fontId="2" numFmtId="0" xfId="0" applyAlignment="1" applyFill="1" applyFont="1">
      <alignment horizontal="right" readingOrder="0" shrinkToFit="0" vertical="bottom" wrapText="0"/>
    </xf>
    <xf borderId="0" fillId="3" fontId="2" numFmtId="0" xfId="0" applyAlignment="1" applyFont="1">
      <alignment readingOrder="0" shrinkToFit="0" vertical="bottom" wrapText="0"/>
    </xf>
    <xf borderId="0" fillId="3" fontId="2" numFmtId="0" xfId="0" applyAlignment="1" applyFont="1">
      <alignment shrinkToFit="0" vertical="bottom" wrapText="0"/>
    </xf>
    <xf borderId="0" fillId="0" fontId="2" numFmtId="0" xfId="0" applyAlignment="1" applyFont="1">
      <alignment horizontal="right" readingOrder="0"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3" fontId="2" numFmtId="164" xfId="0" applyAlignment="1" applyFont="1" applyNumberFormat="1">
      <alignment horizontal="right" readingOrder="0" shrinkToFit="0" vertical="bottom" wrapText="0"/>
    </xf>
    <xf borderId="0" fillId="0" fontId="2" numFmtId="164" xfId="0" applyAlignment="1" applyFont="1" applyNumberFormat="1">
      <alignment horizontal="right" readingOrder="0" shrinkToFit="0" vertical="bottom" wrapText="0"/>
    </xf>
    <xf borderId="0" fillId="0" fontId="3" numFmtId="0" xfId="0" applyAlignment="1" applyFont="1">
      <alignment readingOrder="0"/>
    </xf>
    <xf borderId="0" fillId="0" fontId="3" numFmtId="0" xfId="0" applyAlignment="1" applyFont="1">
      <alignment readingOrder="0" shrinkToFit="0" wrapText="1"/>
    </xf>
    <xf borderId="0" fillId="0" fontId="3" numFmtId="0" xfId="0" applyAlignment="1" applyFont="1">
      <alignment shrinkToFit="0" wrapText="1"/>
    </xf>
    <xf borderId="0" fillId="0" fontId="4"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Satisfaction</a:t>
            </a:r>
          </a:p>
        </c:rich>
      </c:tx>
      <c:overlay val="0"/>
    </c:title>
    <c:plotArea>
      <c:layout/>
      <c:barChart>
        <c:barDir val="col"/>
        <c:ser>
          <c:idx val="0"/>
          <c:order val="0"/>
          <c:tx>
            <c:strRef>
              <c:f>'Pilot Feedback Week 1'!$E$20</c:f>
            </c:strRef>
          </c:tx>
          <c:spPr>
            <a:solidFill>
              <a:schemeClr val="accent1"/>
            </a:solidFill>
            <a:ln cmpd="sng">
              <a:solidFill>
                <a:srgbClr val="000000"/>
              </a:solidFill>
            </a:ln>
          </c:spPr>
          <c:cat>
            <c:strRef>
              <c:f>'Pilot Feedback Week 1'!$D$22:$D$25</c:f>
            </c:strRef>
          </c:cat>
          <c:val>
            <c:numRef>
              <c:f>'Pilot Feedback Week 1'!$E$21:$E$25</c:f>
              <c:numCache/>
            </c:numRef>
          </c:val>
        </c:ser>
        <c:axId val="534519580"/>
        <c:axId val="111577376"/>
      </c:barChart>
      <c:catAx>
        <c:axId val="5345195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1577376"/>
      </c:catAx>
      <c:valAx>
        <c:axId val="1115773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Satsifaction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3451958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Ease of use</a:t>
            </a:r>
          </a:p>
        </c:rich>
      </c:tx>
      <c:overlay val="0"/>
    </c:title>
    <c:plotArea>
      <c:layout/>
      <c:barChart>
        <c:barDir val="col"/>
        <c:ser>
          <c:idx val="0"/>
          <c:order val="0"/>
          <c:tx>
            <c:strRef>
              <c:f>'Pilot Feedback Week 1'!$E$27</c:f>
            </c:strRef>
          </c:tx>
          <c:spPr>
            <a:solidFill>
              <a:schemeClr val="accent1"/>
            </a:solidFill>
            <a:ln cmpd="sng">
              <a:solidFill>
                <a:srgbClr val="000000"/>
              </a:solidFill>
            </a:ln>
          </c:spPr>
          <c:cat>
            <c:strRef>
              <c:f>'Pilot Feedback Week 1'!$D$28:$D$32</c:f>
            </c:strRef>
          </c:cat>
          <c:val>
            <c:numRef>
              <c:f>'Pilot Feedback Week 1'!$E$28:$E$32</c:f>
              <c:numCache/>
            </c:numRef>
          </c:val>
        </c:ser>
        <c:axId val="1770962673"/>
        <c:axId val="369859987"/>
      </c:barChart>
      <c:catAx>
        <c:axId val="17709626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69859987"/>
      </c:catAx>
      <c:valAx>
        <c:axId val="3698599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Ease of use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096267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Mobile use</a:t>
            </a:r>
          </a:p>
        </c:rich>
      </c:tx>
      <c:overlay val="0"/>
    </c:title>
    <c:plotArea>
      <c:layout/>
      <c:barChart>
        <c:barDir val="col"/>
        <c:ser>
          <c:idx val="0"/>
          <c:order val="0"/>
          <c:tx>
            <c:strRef>
              <c:f>'Pilot Feedback Week 1'!$E$34</c:f>
            </c:strRef>
          </c:tx>
          <c:spPr>
            <a:solidFill>
              <a:schemeClr val="accent1"/>
            </a:solidFill>
            <a:ln cmpd="sng">
              <a:solidFill>
                <a:srgbClr val="000000"/>
              </a:solidFill>
            </a:ln>
          </c:spPr>
          <c:cat>
            <c:strRef>
              <c:f>'Pilot Feedback Week 1'!$D$35:$D$36</c:f>
            </c:strRef>
          </c:cat>
          <c:val>
            <c:numRef>
              <c:f>'Pilot Feedback Week 1'!$E$35:$E$36</c:f>
              <c:numCache/>
            </c:numRef>
          </c:val>
        </c:ser>
        <c:axId val="200926597"/>
        <c:axId val="1761528643"/>
      </c:barChart>
      <c:catAx>
        <c:axId val="2009265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61528643"/>
      </c:catAx>
      <c:valAx>
        <c:axId val="17615286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Mobile use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092659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16A8E2"/>
            </a:solidFill>
            <a:ln cmpd="sng">
              <a:solidFill>
                <a:srgbClr val="000000"/>
              </a:solidFill>
              <a:prstDash val="solid"/>
            </a:ln>
          </c:spPr>
          <c:cat>
            <c:strRef>
              <c:f>'Q10'!$H$3:$H$6</c:f>
            </c:strRef>
          </c:cat>
          <c:val>
            <c:numRef>
              <c:f>'Q10'!$I$3:$I$6</c:f>
              <c:numCache/>
            </c:numRef>
          </c:val>
        </c:ser>
        <c:axId val="1119804943"/>
        <c:axId val="2115787515"/>
      </c:barChart>
      <c:catAx>
        <c:axId val="11198049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15787515"/>
      </c:catAx>
      <c:valAx>
        <c:axId val="2115787515"/>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19804943"/>
      </c:valAx>
    </c:plotArea>
    <c:legend>
      <c:legendPos val="r"/>
      <c:overlay val="0"/>
      <c:txPr>
        <a:bodyPr/>
        <a:lstStyle/>
        <a:p>
          <a:pPr lvl="0">
            <a:defRPr b="0">
              <a:solidFill>
                <a:srgbClr val="1A1A1A"/>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FFBC42"/>
            </a:solidFill>
            <a:ln cmpd="sng">
              <a:solidFill>
                <a:srgbClr val="000000"/>
              </a:solidFill>
              <a:prstDash val="solid"/>
            </a:ln>
          </c:spPr>
          <c:cat>
            <c:strRef>
              <c:f>'Q10'!$H$9:$H$10</c:f>
            </c:strRef>
          </c:cat>
          <c:val>
            <c:numRef>
              <c:f>'Q10'!$I$9:$I$10</c:f>
              <c:numCache/>
            </c:numRef>
          </c:val>
        </c:ser>
        <c:axId val="252396798"/>
        <c:axId val="509731323"/>
      </c:barChart>
      <c:catAx>
        <c:axId val="2523967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09731323"/>
      </c:catAx>
      <c:valAx>
        <c:axId val="509731323"/>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52396798"/>
      </c:valAx>
    </c:plotArea>
    <c:legend>
      <c:legendPos val="r"/>
      <c:overlay val="0"/>
      <c:txPr>
        <a:bodyPr/>
        <a:lstStyle/>
        <a:p>
          <a:pPr lvl="0">
            <a:defRPr b="0">
              <a:solidFill>
                <a:srgbClr val="1A1A1A"/>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FF9900"/>
            </a:solidFill>
            <a:ln cmpd="sng">
              <a:solidFill>
                <a:srgbClr val="000000"/>
              </a:solidFill>
            </a:ln>
          </c:spPr>
          <c:cat>
            <c:strRef>
              <c:f>'Q10'!$H$14:$H$15</c:f>
            </c:strRef>
          </c:cat>
          <c:val>
            <c:numRef>
              <c:f>'Q10'!$I$14:$I$15</c:f>
              <c:numCache/>
            </c:numRef>
          </c:val>
        </c:ser>
        <c:axId val="559411866"/>
        <c:axId val="996767238"/>
      </c:barChart>
      <c:catAx>
        <c:axId val="5594118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96767238"/>
      </c:catAx>
      <c:valAx>
        <c:axId val="996767238"/>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559411866"/>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FC594D"/>
            </a:solidFill>
            <a:ln cmpd="sng">
              <a:solidFill>
                <a:srgbClr val="000000"/>
              </a:solidFill>
            </a:ln>
          </c:spPr>
          <c:cat>
            <c:strRef>
              <c:f>'Q10'!$H$20:$H$22</c:f>
            </c:strRef>
          </c:cat>
          <c:val>
            <c:numRef>
              <c:f>'Q10'!$I$20:$I$22</c:f>
              <c:numCache/>
            </c:numRef>
          </c:val>
        </c:ser>
        <c:axId val="1627209852"/>
        <c:axId val="2042215533"/>
      </c:barChart>
      <c:catAx>
        <c:axId val="16272098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42215533"/>
      </c:catAx>
      <c:valAx>
        <c:axId val="2042215533"/>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627209852"/>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16A8E2"/>
            </a:solidFill>
            <a:ln cmpd="sng">
              <a:solidFill>
                <a:srgbClr val="000000"/>
              </a:solidFill>
            </a:ln>
          </c:spPr>
          <c:cat>
            <c:strRef>
              <c:f>'Q13 - primary tools'!$E$1:$I$1</c:f>
            </c:strRef>
          </c:cat>
          <c:val>
            <c:numRef>
              <c:f>'Q13 - primary tools'!$E$2:$I$2</c:f>
              <c:numCache/>
            </c:numRef>
          </c:val>
        </c:ser>
        <c:axId val="684731471"/>
        <c:axId val="1927941904"/>
      </c:barChart>
      <c:catAx>
        <c:axId val="6847314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927941904"/>
      </c:catAx>
      <c:valAx>
        <c:axId val="1927941904"/>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84731471"/>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 Id="rId4"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47625</xdr:colOff>
      <xdr:row>16</xdr:row>
      <xdr:rowOff>104775</xdr:rowOff>
    </xdr:from>
    <xdr:ext cx="4314825" cy="26670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47625</xdr:colOff>
      <xdr:row>29</xdr:row>
      <xdr:rowOff>180975</xdr:rowOff>
    </xdr:from>
    <xdr:ext cx="4314825" cy="26670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15</xdr:col>
      <xdr:colOff>638175</xdr:colOff>
      <xdr:row>30</xdr:row>
      <xdr:rowOff>0</xdr:rowOff>
    </xdr:from>
    <xdr:ext cx="4238625" cy="26289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504825</xdr:colOff>
      <xdr:row>0</xdr:row>
      <xdr:rowOff>133350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504825</xdr:colOff>
      <xdr:row>13</xdr:row>
      <xdr:rowOff>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800100</xdr:colOff>
      <xdr:row>28</xdr:row>
      <xdr:rowOff>371475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800100</xdr:colOff>
      <xdr:row>29</xdr:row>
      <xdr:rowOff>371475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xdr:colOff>
      <xdr:row>7</xdr:row>
      <xdr:rowOff>171450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2">
        <v>1.0</v>
      </c>
      <c r="B2" s="2" t="s">
        <v>11</v>
      </c>
      <c r="C2" s="2" t="s">
        <v>12</v>
      </c>
      <c r="D2" s="3" t="s">
        <v>13</v>
      </c>
      <c r="E2" s="4"/>
      <c r="F2" s="4"/>
      <c r="G2" s="3" t="s">
        <v>14</v>
      </c>
      <c r="H2" s="3" t="s">
        <v>15</v>
      </c>
      <c r="I2" s="3" t="s">
        <v>16</v>
      </c>
      <c r="J2" s="4"/>
      <c r="K2" s="4"/>
    </row>
    <row r="3">
      <c r="A3" s="5">
        <v>2.0</v>
      </c>
      <c r="B3" s="5" t="s">
        <v>17</v>
      </c>
      <c r="C3" s="5" t="s">
        <v>18</v>
      </c>
      <c r="D3" s="6" t="s">
        <v>13</v>
      </c>
      <c r="E3" s="7"/>
      <c r="F3" s="7"/>
      <c r="G3" s="6" t="s">
        <v>19</v>
      </c>
      <c r="H3" s="6" t="s">
        <v>20</v>
      </c>
      <c r="I3" s="6" t="s">
        <v>16</v>
      </c>
      <c r="J3" s="7"/>
      <c r="K3" s="7"/>
    </row>
    <row r="4">
      <c r="A4" s="2">
        <v>3.0</v>
      </c>
      <c r="B4" s="2" t="s">
        <v>21</v>
      </c>
      <c r="C4" s="2" t="s">
        <v>22</v>
      </c>
      <c r="D4" s="3" t="s">
        <v>13</v>
      </c>
      <c r="E4" s="4"/>
      <c r="F4" s="4"/>
      <c r="G4" s="3" t="s">
        <v>14</v>
      </c>
      <c r="H4" s="3" t="s">
        <v>15</v>
      </c>
      <c r="I4" s="3" t="s">
        <v>16</v>
      </c>
      <c r="J4" s="4"/>
      <c r="K4" s="4"/>
    </row>
    <row r="5">
      <c r="A5" s="5">
        <v>4.0</v>
      </c>
      <c r="B5" s="5" t="s">
        <v>23</v>
      </c>
      <c r="C5" s="5" t="s">
        <v>24</v>
      </c>
      <c r="D5" s="6" t="s">
        <v>13</v>
      </c>
      <c r="E5" s="7"/>
      <c r="F5" s="7"/>
      <c r="G5" s="6" t="s">
        <v>25</v>
      </c>
      <c r="H5" s="6" t="s">
        <v>26</v>
      </c>
      <c r="I5" s="6" t="s">
        <v>27</v>
      </c>
      <c r="J5" s="6" t="s">
        <v>26</v>
      </c>
      <c r="K5" s="6" t="s">
        <v>28</v>
      </c>
    </row>
    <row r="6">
      <c r="A6" s="2">
        <v>5.0</v>
      </c>
      <c r="B6" s="2" t="s">
        <v>29</v>
      </c>
      <c r="C6" s="2" t="s">
        <v>30</v>
      </c>
      <c r="D6" s="3" t="s">
        <v>13</v>
      </c>
      <c r="E6" s="4"/>
      <c r="F6" s="4"/>
      <c r="G6" s="3" t="s">
        <v>25</v>
      </c>
      <c r="H6" s="3" t="s">
        <v>15</v>
      </c>
      <c r="I6" s="3" t="s">
        <v>27</v>
      </c>
      <c r="J6" s="3" t="s">
        <v>15</v>
      </c>
      <c r="K6" s="3" t="s">
        <v>31</v>
      </c>
    </row>
    <row r="7">
      <c r="A7" s="5">
        <v>6.0</v>
      </c>
      <c r="B7" s="5" t="s">
        <v>32</v>
      </c>
      <c r="C7" s="5" t="s">
        <v>33</v>
      </c>
      <c r="D7" s="6" t="s">
        <v>13</v>
      </c>
      <c r="E7" s="7"/>
      <c r="F7" s="7"/>
      <c r="G7" s="6" t="s">
        <v>14</v>
      </c>
      <c r="H7" s="6" t="s">
        <v>15</v>
      </c>
      <c r="I7" s="6" t="s">
        <v>16</v>
      </c>
      <c r="J7" s="7"/>
      <c r="K7" s="7"/>
    </row>
    <row r="8">
      <c r="A8" s="2">
        <v>7.0</v>
      </c>
      <c r="B8" s="8">
        <v>46024.69174768519</v>
      </c>
      <c r="C8" s="8">
        <v>46024.69552083333</v>
      </c>
      <c r="D8" s="3" t="s">
        <v>13</v>
      </c>
      <c r="E8" s="4"/>
      <c r="F8" s="4"/>
      <c r="G8" s="3" t="s">
        <v>14</v>
      </c>
      <c r="H8" s="3" t="s">
        <v>34</v>
      </c>
      <c r="I8" s="3" t="s">
        <v>16</v>
      </c>
      <c r="J8" s="4"/>
      <c r="K8" s="4"/>
    </row>
    <row r="9">
      <c r="A9" s="5">
        <v>8.0</v>
      </c>
      <c r="B9" s="9">
        <v>46024.7091087963</v>
      </c>
      <c r="C9" s="9">
        <v>46024.70946759259</v>
      </c>
      <c r="D9" s="6" t="s">
        <v>13</v>
      </c>
      <c r="E9" s="7"/>
      <c r="F9" s="7"/>
      <c r="G9" s="6" t="s">
        <v>19</v>
      </c>
      <c r="H9" s="6" t="s">
        <v>20</v>
      </c>
      <c r="I9" s="6" t="s">
        <v>16</v>
      </c>
      <c r="J9" s="7"/>
      <c r="K9" s="7"/>
    </row>
    <row r="10">
      <c r="A10" s="2">
        <v>9.0</v>
      </c>
      <c r="B10" s="8">
        <v>46024.756215277775</v>
      </c>
      <c r="C10" s="8">
        <v>46024.756875</v>
      </c>
      <c r="D10" s="3" t="s">
        <v>13</v>
      </c>
      <c r="E10" s="4"/>
      <c r="F10" s="4"/>
      <c r="G10" s="3" t="s">
        <v>19</v>
      </c>
      <c r="H10" s="3" t="s">
        <v>15</v>
      </c>
      <c r="I10" s="3" t="s">
        <v>16</v>
      </c>
      <c r="J10" s="4"/>
      <c r="K10" s="4"/>
    </row>
    <row r="11">
      <c r="A11" s="5">
        <v>10.0</v>
      </c>
      <c r="B11" s="9">
        <v>46024.88065972222</v>
      </c>
      <c r="C11" s="9">
        <v>46024.881006944444</v>
      </c>
      <c r="D11" s="6" t="s">
        <v>13</v>
      </c>
      <c r="E11" s="7"/>
      <c r="F11" s="7"/>
      <c r="G11" s="6" t="s">
        <v>14</v>
      </c>
      <c r="H11" s="6" t="s">
        <v>15</v>
      </c>
      <c r="I11" s="6" t="s">
        <v>16</v>
      </c>
      <c r="J11" s="7"/>
      <c r="K11" s="7"/>
    </row>
    <row r="12">
      <c r="A12" s="2">
        <v>11.0</v>
      </c>
      <c r="B12" s="8">
        <v>46144.223078703704</v>
      </c>
      <c r="C12" s="8">
        <v>46144.22356481481</v>
      </c>
      <c r="D12" s="3" t="s">
        <v>13</v>
      </c>
      <c r="E12" s="4"/>
      <c r="F12" s="4"/>
      <c r="G12" s="3" t="s">
        <v>25</v>
      </c>
      <c r="H12" s="3" t="s">
        <v>26</v>
      </c>
      <c r="I12" s="3" t="s">
        <v>16</v>
      </c>
      <c r="J12" s="4"/>
      <c r="K12" s="4"/>
    </row>
    <row r="13">
      <c r="A13" s="5">
        <v>12.0</v>
      </c>
      <c r="B13" s="9">
        <v>46144.393854166665</v>
      </c>
      <c r="C13" s="9">
        <v>46144.39408564815</v>
      </c>
      <c r="D13" s="6" t="s">
        <v>13</v>
      </c>
      <c r="E13" s="7"/>
      <c r="F13" s="7"/>
      <c r="G13" s="6" t="s">
        <v>19</v>
      </c>
      <c r="H13" s="6" t="s">
        <v>20</v>
      </c>
      <c r="I13" s="6" t="s">
        <v>16</v>
      </c>
      <c r="J13" s="7"/>
      <c r="K13" s="7"/>
    </row>
    <row r="14">
      <c r="A14" s="2">
        <v>13.0</v>
      </c>
      <c r="B14" s="8">
        <v>46236.795277777775</v>
      </c>
      <c r="C14" s="8">
        <v>46236.79608796296</v>
      </c>
      <c r="D14" s="3" t="s">
        <v>13</v>
      </c>
      <c r="E14" s="4"/>
      <c r="F14" s="4"/>
      <c r="G14" s="3" t="s">
        <v>14</v>
      </c>
      <c r="H14" s="3" t="s">
        <v>26</v>
      </c>
      <c r="I14" s="3" t="s">
        <v>16</v>
      </c>
      <c r="J14" s="4"/>
      <c r="K14" s="4"/>
    </row>
    <row r="15">
      <c r="A15" s="5">
        <v>14.0</v>
      </c>
      <c r="B15" s="9">
        <v>46267.6541087963</v>
      </c>
      <c r="C15" s="9">
        <v>46267.65452546296</v>
      </c>
      <c r="D15" s="6" t="s">
        <v>13</v>
      </c>
      <c r="E15" s="7"/>
      <c r="F15" s="7"/>
      <c r="G15" s="6" t="s">
        <v>19</v>
      </c>
      <c r="H15" s="6" t="s">
        <v>20</v>
      </c>
      <c r="I15" s="6" t="s">
        <v>27</v>
      </c>
      <c r="J15" s="6" t="s">
        <v>20</v>
      </c>
      <c r="K15" s="7"/>
    </row>
    <row r="16">
      <c r="A16" s="2">
        <v>15.0</v>
      </c>
      <c r="B16" s="2" t="s">
        <v>35</v>
      </c>
      <c r="C16" s="2" t="s">
        <v>36</v>
      </c>
      <c r="D16" s="3" t="s">
        <v>13</v>
      </c>
      <c r="E16" s="4"/>
      <c r="F16" s="4"/>
      <c r="G16" s="3" t="s">
        <v>14</v>
      </c>
      <c r="H16" s="3" t="s">
        <v>15</v>
      </c>
      <c r="I16" s="3" t="s">
        <v>16</v>
      </c>
      <c r="J16" s="4"/>
      <c r="K16" s="4"/>
    </row>
    <row r="17">
      <c r="A17" s="5">
        <v>16.0</v>
      </c>
      <c r="B17" s="5" t="s">
        <v>37</v>
      </c>
      <c r="C17" s="5" t="s">
        <v>38</v>
      </c>
      <c r="D17" s="6" t="s">
        <v>13</v>
      </c>
      <c r="E17" s="7"/>
      <c r="F17" s="7"/>
      <c r="G17" s="6" t="s">
        <v>14</v>
      </c>
      <c r="H17" s="6" t="s">
        <v>20</v>
      </c>
      <c r="I17" s="6" t="s">
        <v>16</v>
      </c>
      <c r="J17" s="7"/>
      <c r="K17" s="10" t="s">
        <v>39</v>
      </c>
    </row>
    <row r="20">
      <c r="D20" s="7"/>
      <c r="E20" s="6" t="s">
        <v>40</v>
      </c>
    </row>
    <row r="21">
      <c r="D21" s="6" t="s">
        <v>19</v>
      </c>
      <c r="E21" s="6">
        <v>5.0</v>
      </c>
      <c r="G21" s="10" t="s">
        <v>41</v>
      </c>
    </row>
    <row r="22">
      <c r="D22" s="6" t="s">
        <v>42</v>
      </c>
      <c r="E22" s="6">
        <v>8.0</v>
      </c>
      <c r="G22" s="10" t="s">
        <v>43</v>
      </c>
    </row>
    <row r="23">
      <c r="D23" s="6" t="s">
        <v>15</v>
      </c>
      <c r="E23" s="6">
        <v>3.0</v>
      </c>
    </row>
    <row r="24">
      <c r="D24" s="6" t="s">
        <v>44</v>
      </c>
      <c r="E24" s="6">
        <v>0.0</v>
      </c>
    </row>
    <row r="25">
      <c r="D25" s="6" t="s">
        <v>45</v>
      </c>
      <c r="E25" s="6">
        <v>0.0</v>
      </c>
    </row>
    <row r="27">
      <c r="E27" s="10" t="s">
        <v>46</v>
      </c>
    </row>
    <row r="28">
      <c r="D28" s="10" t="s">
        <v>34</v>
      </c>
      <c r="E28" s="10">
        <v>1.0</v>
      </c>
    </row>
    <row r="29">
      <c r="D29" s="10" t="s">
        <v>20</v>
      </c>
      <c r="E29" s="10">
        <v>5.0</v>
      </c>
    </row>
    <row r="30">
      <c r="D30" s="10" t="s">
        <v>15</v>
      </c>
      <c r="E30" s="10">
        <v>7.0</v>
      </c>
    </row>
    <row r="31">
      <c r="D31" s="10" t="s">
        <v>26</v>
      </c>
      <c r="E31" s="10">
        <v>3.0</v>
      </c>
    </row>
    <row r="32">
      <c r="D32" s="10" t="s">
        <v>47</v>
      </c>
      <c r="E32" s="10">
        <v>0.0</v>
      </c>
    </row>
    <row r="34">
      <c r="E34" s="10" t="s">
        <v>48</v>
      </c>
      <c r="H34" s="10" t="s">
        <v>46</v>
      </c>
    </row>
    <row r="35">
      <c r="D35" s="10" t="s">
        <v>49</v>
      </c>
      <c r="E35" s="10">
        <v>3.0</v>
      </c>
      <c r="H35" s="10" t="s">
        <v>50</v>
      </c>
    </row>
    <row r="36">
      <c r="D36" s="10" t="s">
        <v>51</v>
      </c>
      <c r="E36" s="10">
        <v>13.0</v>
      </c>
      <c r="H36" s="10" t="s">
        <v>52</v>
      </c>
    </row>
    <row r="37">
      <c r="H37" s="10" t="s">
        <v>53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54</v>
      </c>
      <c r="H1" s="1" t="s">
        <v>55</v>
      </c>
      <c r="I1" s="1" t="s">
        <v>56</v>
      </c>
      <c r="J1" s="1" t="s">
        <v>57</v>
      </c>
      <c r="K1" s="1" t="s">
        <v>58</v>
      </c>
      <c r="L1" s="1" t="s">
        <v>59</v>
      </c>
      <c r="M1" s="1" t="s">
        <v>60</v>
      </c>
    </row>
    <row r="2">
      <c r="A2" s="2">
        <v>1.0</v>
      </c>
      <c r="B2" s="8">
        <v>46175.6228125</v>
      </c>
      <c r="C2" s="8">
        <v>46175.62380787037</v>
      </c>
      <c r="D2" s="3" t="s">
        <v>13</v>
      </c>
      <c r="E2" s="4"/>
      <c r="F2" s="4"/>
      <c r="G2" s="3" t="s">
        <v>61</v>
      </c>
      <c r="H2" s="3" t="s">
        <v>62</v>
      </c>
      <c r="I2" s="3" t="s">
        <v>63</v>
      </c>
      <c r="J2" s="3" t="s">
        <v>20</v>
      </c>
      <c r="K2" s="3" t="s">
        <v>64</v>
      </c>
      <c r="L2" s="3" t="s">
        <v>65</v>
      </c>
      <c r="M2" s="2">
        <v>8.0</v>
      </c>
    </row>
    <row r="3">
      <c r="A3" s="5">
        <v>2.0</v>
      </c>
      <c r="B3" s="9">
        <v>46175.780185185184</v>
      </c>
      <c r="C3" s="9">
        <v>46175.785474537035</v>
      </c>
      <c r="D3" s="6" t="s">
        <v>13</v>
      </c>
      <c r="E3" s="7"/>
      <c r="F3" s="7"/>
      <c r="G3" s="6" t="s">
        <v>66</v>
      </c>
      <c r="H3" s="6" t="s">
        <v>67</v>
      </c>
      <c r="I3" s="6" t="s">
        <v>68</v>
      </c>
      <c r="J3" s="6" t="s">
        <v>15</v>
      </c>
      <c r="K3" s="6" t="s">
        <v>69</v>
      </c>
      <c r="L3" s="6" t="s">
        <v>70</v>
      </c>
      <c r="M3" s="5">
        <v>10.0</v>
      </c>
    </row>
    <row r="4">
      <c r="A4" s="2">
        <v>3.0</v>
      </c>
      <c r="B4" s="8">
        <v>46175.82119212963</v>
      </c>
      <c r="C4" s="8">
        <v>46175.82304398148</v>
      </c>
      <c r="D4" s="3" t="s">
        <v>13</v>
      </c>
      <c r="E4" s="4"/>
      <c r="F4" s="4"/>
      <c r="G4" s="3" t="s">
        <v>61</v>
      </c>
      <c r="H4" s="3" t="s">
        <v>71</v>
      </c>
      <c r="I4" s="3" t="s">
        <v>72</v>
      </c>
      <c r="J4" s="3" t="s">
        <v>15</v>
      </c>
      <c r="K4" s="3" t="s">
        <v>73</v>
      </c>
      <c r="L4" s="3" t="s">
        <v>74</v>
      </c>
      <c r="M4" s="2">
        <v>6.0</v>
      </c>
    </row>
    <row r="5">
      <c r="A5" s="5">
        <v>4.0</v>
      </c>
      <c r="B5" s="9">
        <v>46205.7499537037</v>
      </c>
      <c r="C5" s="9">
        <v>46205.75283564815</v>
      </c>
      <c r="D5" s="6" t="s">
        <v>13</v>
      </c>
      <c r="E5" s="7"/>
      <c r="F5" s="7"/>
      <c r="G5" s="6" t="s">
        <v>75</v>
      </c>
      <c r="H5" s="6" t="s">
        <v>76</v>
      </c>
      <c r="I5" s="6" t="s">
        <v>77</v>
      </c>
      <c r="J5" s="6" t="s">
        <v>20</v>
      </c>
      <c r="K5" s="6" t="s">
        <v>78</v>
      </c>
      <c r="L5" s="6" t="s">
        <v>79</v>
      </c>
      <c r="M5" s="5">
        <v>7.0</v>
      </c>
    </row>
    <row r="6">
      <c r="A6" s="2">
        <v>5.0</v>
      </c>
      <c r="B6" s="8">
        <v>46267.65587962963</v>
      </c>
      <c r="C6" s="8">
        <v>46267.65655092592</v>
      </c>
      <c r="D6" s="3" t="s">
        <v>13</v>
      </c>
      <c r="E6" s="4"/>
      <c r="F6" s="4"/>
      <c r="G6" s="3" t="s">
        <v>66</v>
      </c>
      <c r="H6" s="3" t="s">
        <v>80</v>
      </c>
      <c r="I6" s="3" t="s">
        <v>77</v>
      </c>
      <c r="J6" s="3" t="s">
        <v>20</v>
      </c>
      <c r="K6" s="4"/>
      <c r="L6" s="4"/>
      <c r="M6" s="2">
        <v>8.0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38.0</v>
      </c>
      <c r="B1" s="10" t="s">
        <v>13</v>
      </c>
      <c r="C1" s="10" t="s">
        <v>81</v>
      </c>
    </row>
    <row r="2">
      <c r="A2" s="10">
        <v>51.0</v>
      </c>
      <c r="B2" s="10" t="s">
        <v>13</v>
      </c>
      <c r="C2" s="10" t="s">
        <v>82</v>
      </c>
    </row>
    <row r="3">
      <c r="A3" s="10">
        <v>73.0</v>
      </c>
      <c r="B3" s="10" t="s">
        <v>13</v>
      </c>
      <c r="C3" s="10" t="s">
        <v>83</v>
      </c>
    </row>
    <row r="4">
      <c r="A4" s="10">
        <v>83.0</v>
      </c>
      <c r="B4" s="10" t="s">
        <v>13</v>
      </c>
      <c r="C4" s="10" t="s">
        <v>84</v>
      </c>
    </row>
    <row r="5">
      <c r="A5" s="10">
        <v>84.0</v>
      </c>
      <c r="B5" s="10" t="s">
        <v>13</v>
      </c>
      <c r="C5" s="10" t="s">
        <v>85</v>
      </c>
    </row>
    <row r="6">
      <c r="A6" s="10">
        <v>89.0</v>
      </c>
      <c r="B6" s="10" t="s">
        <v>13</v>
      </c>
      <c r="C6" s="10" t="s">
        <v>86</v>
      </c>
    </row>
    <row r="7">
      <c r="A7" s="10">
        <v>90.0</v>
      </c>
      <c r="B7" s="10" t="s">
        <v>13</v>
      </c>
      <c r="C7" s="10" t="s">
        <v>87</v>
      </c>
    </row>
    <row r="8">
      <c r="A8" s="10">
        <v>94.0</v>
      </c>
      <c r="B8" s="10" t="s">
        <v>13</v>
      </c>
      <c r="C8" s="10" t="s">
        <v>88</v>
      </c>
    </row>
    <row r="9">
      <c r="A9" s="10">
        <v>110.0</v>
      </c>
      <c r="B9" s="10" t="s">
        <v>13</v>
      </c>
      <c r="C9" s="10" t="s">
        <v>89</v>
      </c>
    </row>
    <row r="10">
      <c r="A10" s="10">
        <v>118.0</v>
      </c>
      <c r="B10" s="10" t="s">
        <v>13</v>
      </c>
      <c r="C10" s="10" t="s">
        <v>90</v>
      </c>
    </row>
    <row r="11">
      <c r="A11" s="10">
        <v>121.0</v>
      </c>
      <c r="B11" s="10" t="s">
        <v>13</v>
      </c>
      <c r="C11" s="10" t="s">
        <v>91</v>
      </c>
    </row>
    <row r="12">
      <c r="A12" s="10">
        <v>125.0</v>
      </c>
      <c r="B12" s="10" t="s">
        <v>13</v>
      </c>
      <c r="C12" s="10" t="s">
        <v>92</v>
      </c>
    </row>
    <row r="13">
      <c r="A13" s="10">
        <v>141.0</v>
      </c>
      <c r="B13" s="10" t="s">
        <v>13</v>
      </c>
      <c r="C13" s="10" t="s">
        <v>93</v>
      </c>
    </row>
    <row r="14">
      <c r="A14" s="10">
        <v>149.0</v>
      </c>
      <c r="B14" s="10" t="s">
        <v>13</v>
      </c>
      <c r="C14" s="10" t="s">
        <v>94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3.0</v>
      </c>
      <c r="B1" s="10" t="s">
        <v>13</v>
      </c>
      <c r="C1" s="10" t="s">
        <v>95</v>
      </c>
    </row>
    <row r="2">
      <c r="A2" s="10">
        <v>5.0</v>
      </c>
      <c r="B2" s="10" t="s">
        <v>13</v>
      </c>
      <c r="C2" s="10" t="s">
        <v>96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6.5"/>
  </cols>
  <sheetData>
    <row r="1">
      <c r="A1" s="10">
        <v>1.0</v>
      </c>
      <c r="B1" s="10" t="s">
        <v>13</v>
      </c>
      <c r="C1" s="11" t="s">
        <v>97</v>
      </c>
    </row>
    <row r="2">
      <c r="A2" s="10">
        <v>2.0</v>
      </c>
      <c r="B2" s="10" t="s">
        <v>13</v>
      </c>
      <c r="C2" s="11" t="s">
        <v>98</v>
      </c>
    </row>
    <row r="3">
      <c r="A3" s="10">
        <v>3.0</v>
      </c>
      <c r="B3" s="10" t="s">
        <v>13</v>
      </c>
      <c r="C3" s="11" t="s">
        <v>99</v>
      </c>
    </row>
    <row r="4">
      <c r="A4" s="10">
        <v>4.0</v>
      </c>
      <c r="B4" s="10" t="s">
        <v>13</v>
      </c>
      <c r="C4" s="11" t="s">
        <v>100</v>
      </c>
    </row>
    <row r="5">
      <c r="A5" s="10">
        <v>5.0</v>
      </c>
      <c r="B5" s="10" t="s">
        <v>13</v>
      </c>
      <c r="C5" s="11" t="s">
        <v>101</v>
      </c>
    </row>
    <row r="6">
      <c r="A6" s="10">
        <v>6.0</v>
      </c>
      <c r="B6" s="10" t="s">
        <v>13</v>
      </c>
      <c r="C6" s="11" t="s">
        <v>102</v>
      </c>
    </row>
    <row r="7">
      <c r="A7" s="10">
        <v>7.0</v>
      </c>
      <c r="B7" s="10" t="s">
        <v>13</v>
      </c>
      <c r="C7" s="11" t="s">
        <v>103</v>
      </c>
    </row>
    <row r="8">
      <c r="A8" s="10">
        <v>8.0</v>
      </c>
      <c r="B8" s="10" t="s">
        <v>13</v>
      </c>
      <c r="C8" s="11" t="s">
        <v>104</v>
      </c>
    </row>
    <row r="9">
      <c r="C9" s="12"/>
    </row>
    <row r="10">
      <c r="C10" s="12"/>
    </row>
    <row r="11">
      <c r="C11" s="12"/>
    </row>
    <row r="12">
      <c r="C12" s="12"/>
    </row>
    <row r="13">
      <c r="C13" s="12"/>
    </row>
    <row r="14">
      <c r="C14" s="12"/>
    </row>
    <row r="15">
      <c r="C15" s="12"/>
    </row>
    <row r="16">
      <c r="C16" s="12"/>
    </row>
    <row r="17">
      <c r="C17" s="12"/>
    </row>
    <row r="18">
      <c r="C18" s="12"/>
    </row>
    <row r="19">
      <c r="C19" s="12"/>
    </row>
    <row r="20">
      <c r="C20" s="12"/>
    </row>
    <row r="21">
      <c r="C21" s="12"/>
    </row>
    <row r="22">
      <c r="C22" s="12"/>
    </row>
    <row r="23">
      <c r="C23" s="12"/>
    </row>
    <row r="24">
      <c r="C24" s="12"/>
    </row>
    <row r="25">
      <c r="C25" s="12"/>
    </row>
    <row r="26">
      <c r="C26" s="12"/>
    </row>
    <row r="27">
      <c r="C27" s="12"/>
    </row>
    <row r="28">
      <c r="C28" s="12"/>
    </row>
    <row r="29">
      <c r="C29" s="12"/>
    </row>
    <row r="30">
      <c r="C30" s="12"/>
    </row>
    <row r="31">
      <c r="C31" s="12"/>
    </row>
    <row r="32">
      <c r="C32" s="12"/>
    </row>
    <row r="33">
      <c r="C33" s="12"/>
    </row>
    <row r="34">
      <c r="C34" s="12"/>
    </row>
    <row r="35">
      <c r="C35" s="12"/>
    </row>
    <row r="36">
      <c r="C36" s="12"/>
    </row>
    <row r="37">
      <c r="C37" s="12"/>
    </row>
    <row r="38">
      <c r="C38" s="12"/>
    </row>
    <row r="39">
      <c r="C39" s="12"/>
    </row>
    <row r="40">
      <c r="C40" s="12"/>
    </row>
    <row r="41">
      <c r="C41" s="12"/>
    </row>
    <row r="42">
      <c r="C42" s="12"/>
    </row>
    <row r="43">
      <c r="C43" s="12"/>
    </row>
    <row r="44">
      <c r="C44" s="12"/>
    </row>
    <row r="45">
      <c r="C45" s="12"/>
    </row>
    <row r="46">
      <c r="C46" s="12"/>
    </row>
    <row r="47">
      <c r="C47" s="12"/>
    </row>
    <row r="48">
      <c r="C48" s="12"/>
    </row>
    <row r="49">
      <c r="C49" s="12"/>
    </row>
    <row r="50">
      <c r="C50" s="12"/>
    </row>
    <row r="51">
      <c r="C51" s="12"/>
    </row>
    <row r="52">
      <c r="C52" s="12"/>
    </row>
    <row r="53">
      <c r="C53" s="12"/>
    </row>
    <row r="54">
      <c r="C54" s="12"/>
    </row>
    <row r="55">
      <c r="C55" s="12"/>
    </row>
    <row r="56">
      <c r="C56" s="12"/>
    </row>
    <row r="57">
      <c r="C57" s="12"/>
    </row>
    <row r="58">
      <c r="C58" s="12"/>
    </row>
    <row r="59">
      <c r="C59" s="12"/>
    </row>
    <row r="60">
      <c r="C60" s="12"/>
    </row>
    <row r="61">
      <c r="C61" s="12"/>
    </row>
    <row r="62">
      <c r="C62" s="12"/>
    </row>
    <row r="63">
      <c r="C63" s="12"/>
    </row>
    <row r="64">
      <c r="C64" s="12"/>
    </row>
    <row r="65">
      <c r="C65" s="12"/>
    </row>
    <row r="66">
      <c r="C66" s="12"/>
    </row>
    <row r="67">
      <c r="C67" s="12"/>
    </row>
    <row r="68">
      <c r="C68" s="12"/>
    </row>
    <row r="69">
      <c r="C69" s="12"/>
    </row>
    <row r="70">
      <c r="C70" s="12"/>
    </row>
    <row r="71">
      <c r="C71" s="12"/>
    </row>
    <row r="72">
      <c r="C72" s="12"/>
    </row>
    <row r="73">
      <c r="C73" s="12"/>
    </row>
    <row r="74">
      <c r="C74" s="12"/>
    </row>
    <row r="75">
      <c r="C75" s="12"/>
    </row>
    <row r="76">
      <c r="C76" s="12"/>
    </row>
    <row r="77">
      <c r="C77" s="12"/>
    </row>
    <row r="78">
      <c r="C78" s="12"/>
    </row>
    <row r="79">
      <c r="C79" s="12"/>
    </row>
    <row r="80">
      <c r="C80" s="12"/>
    </row>
    <row r="81">
      <c r="C81" s="12"/>
    </row>
    <row r="82">
      <c r="C82" s="12"/>
    </row>
    <row r="83">
      <c r="C83" s="12"/>
    </row>
    <row r="84">
      <c r="C84" s="12"/>
    </row>
    <row r="85">
      <c r="C85" s="12"/>
    </row>
    <row r="86">
      <c r="C86" s="12"/>
    </row>
    <row r="87">
      <c r="C87" s="12"/>
    </row>
    <row r="88">
      <c r="C88" s="12"/>
    </row>
    <row r="89">
      <c r="C89" s="12"/>
    </row>
    <row r="90">
      <c r="C90" s="12"/>
    </row>
    <row r="91">
      <c r="C91" s="12"/>
    </row>
    <row r="92">
      <c r="C92" s="12"/>
    </row>
    <row r="93">
      <c r="C93" s="12"/>
    </row>
    <row r="94">
      <c r="C94" s="12"/>
    </row>
    <row r="95">
      <c r="C95" s="12"/>
    </row>
    <row r="96">
      <c r="C96" s="12"/>
    </row>
    <row r="97">
      <c r="C97" s="12"/>
    </row>
    <row r="98">
      <c r="C98" s="12"/>
    </row>
    <row r="99">
      <c r="C99" s="12"/>
    </row>
    <row r="100">
      <c r="C100" s="12"/>
    </row>
    <row r="101">
      <c r="C101" s="12"/>
    </row>
    <row r="102">
      <c r="C102" s="12"/>
    </row>
    <row r="103">
      <c r="C103" s="12"/>
    </row>
    <row r="104">
      <c r="C104" s="12"/>
    </row>
    <row r="105">
      <c r="C105" s="12"/>
    </row>
    <row r="106">
      <c r="C106" s="12"/>
    </row>
    <row r="107">
      <c r="C107" s="12"/>
    </row>
    <row r="108">
      <c r="C108" s="12"/>
    </row>
    <row r="109">
      <c r="C109" s="12"/>
    </row>
    <row r="110">
      <c r="C110" s="12"/>
    </row>
    <row r="111">
      <c r="C111" s="12"/>
    </row>
    <row r="112">
      <c r="C112" s="12"/>
    </row>
    <row r="113">
      <c r="C113" s="12"/>
    </row>
    <row r="114">
      <c r="C114" s="12"/>
    </row>
    <row r="115">
      <c r="C115" s="12"/>
    </row>
    <row r="116">
      <c r="C116" s="12"/>
    </row>
    <row r="117">
      <c r="C117" s="12"/>
    </row>
    <row r="118">
      <c r="C118" s="12"/>
    </row>
    <row r="119">
      <c r="C119" s="12"/>
    </row>
    <row r="120">
      <c r="C120" s="12"/>
    </row>
    <row r="121">
      <c r="C121" s="12"/>
    </row>
    <row r="122">
      <c r="C122" s="12"/>
    </row>
    <row r="123">
      <c r="C123" s="12"/>
    </row>
    <row r="124">
      <c r="C124" s="12"/>
    </row>
    <row r="125">
      <c r="C125" s="12"/>
    </row>
    <row r="126">
      <c r="C126" s="12"/>
    </row>
    <row r="127">
      <c r="C127" s="12"/>
    </row>
    <row r="128">
      <c r="C128" s="12"/>
    </row>
    <row r="129">
      <c r="C129" s="12"/>
    </row>
    <row r="130">
      <c r="C130" s="12"/>
    </row>
    <row r="131">
      <c r="C131" s="12"/>
    </row>
    <row r="132">
      <c r="C132" s="12"/>
    </row>
    <row r="133">
      <c r="C133" s="12"/>
    </row>
    <row r="134">
      <c r="C134" s="12"/>
    </row>
    <row r="135">
      <c r="C135" s="12"/>
    </row>
    <row r="136">
      <c r="C136" s="12"/>
    </row>
    <row r="137">
      <c r="C137" s="12"/>
    </row>
    <row r="138">
      <c r="C138" s="12"/>
    </row>
    <row r="139">
      <c r="C139" s="12"/>
    </row>
    <row r="140">
      <c r="C140" s="12"/>
    </row>
    <row r="141">
      <c r="C141" s="12"/>
    </row>
    <row r="142">
      <c r="C142" s="12"/>
    </row>
    <row r="143">
      <c r="C143" s="12"/>
    </row>
    <row r="144">
      <c r="C144" s="12"/>
    </row>
    <row r="145">
      <c r="C145" s="12"/>
    </row>
    <row r="146">
      <c r="C146" s="12"/>
    </row>
    <row r="147">
      <c r="C147" s="12"/>
    </row>
    <row r="148">
      <c r="C148" s="12"/>
    </row>
    <row r="149">
      <c r="C149" s="12"/>
    </row>
    <row r="150">
      <c r="C150" s="12"/>
    </row>
    <row r="151">
      <c r="C151" s="12"/>
    </row>
    <row r="152">
      <c r="C152" s="12"/>
    </row>
    <row r="153">
      <c r="C153" s="12"/>
    </row>
    <row r="154">
      <c r="C154" s="12"/>
    </row>
    <row r="155">
      <c r="C155" s="12"/>
    </row>
    <row r="156">
      <c r="C156" s="12"/>
    </row>
    <row r="157">
      <c r="C157" s="12"/>
    </row>
    <row r="158">
      <c r="C158" s="12"/>
    </row>
    <row r="159">
      <c r="C159" s="12"/>
    </row>
    <row r="160">
      <c r="C160" s="12"/>
    </row>
    <row r="161">
      <c r="C161" s="12"/>
    </row>
    <row r="162">
      <c r="C162" s="12"/>
    </row>
    <row r="163">
      <c r="C163" s="12"/>
    </row>
    <row r="164">
      <c r="C164" s="12"/>
    </row>
    <row r="165">
      <c r="C165" s="12"/>
    </row>
    <row r="166">
      <c r="C166" s="12"/>
    </row>
    <row r="167">
      <c r="C167" s="12"/>
    </row>
    <row r="168">
      <c r="C168" s="12"/>
    </row>
    <row r="169">
      <c r="C169" s="12"/>
    </row>
    <row r="170">
      <c r="C170" s="12"/>
    </row>
    <row r="171">
      <c r="C171" s="12"/>
    </row>
    <row r="172">
      <c r="C172" s="12"/>
    </row>
    <row r="173">
      <c r="C173" s="12"/>
    </row>
    <row r="174">
      <c r="C174" s="12"/>
    </row>
    <row r="175">
      <c r="C175" s="12"/>
    </row>
    <row r="176">
      <c r="C176" s="12"/>
    </row>
    <row r="177">
      <c r="C177" s="12"/>
    </row>
    <row r="178">
      <c r="C178" s="12"/>
    </row>
    <row r="179">
      <c r="C179" s="12"/>
    </row>
    <row r="180">
      <c r="C180" s="12"/>
    </row>
    <row r="181">
      <c r="C181" s="12"/>
    </row>
    <row r="182">
      <c r="C182" s="12"/>
    </row>
    <row r="183">
      <c r="C183" s="12"/>
    </row>
    <row r="184">
      <c r="C184" s="12"/>
    </row>
    <row r="185">
      <c r="C185" s="12"/>
    </row>
    <row r="186">
      <c r="C186" s="12"/>
    </row>
    <row r="187">
      <c r="C187" s="12"/>
    </row>
    <row r="188">
      <c r="C188" s="12"/>
    </row>
    <row r="189">
      <c r="C189" s="12"/>
    </row>
    <row r="190">
      <c r="C190" s="12"/>
    </row>
    <row r="191">
      <c r="C191" s="12"/>
    </row>
    <row r="192">
      <c r="C192" s="12"/>
    </row>
    <row r="193">
      <c r="C193" s="12"/>
    </row>
    <row r="194">
      <c r="C194" s="12"/>
    </row>
    <row r="195">
      <c r="C195" s="12"/>
    </row>
    <row r="196">
      <c r="C196" s="12"/>
    </row>
    <row r="197">
      <c r="C197" s="12"/>
    </row>
    <row r="198">
      <c r="C198" s="12"/>
    </row>
    <row r="199">
      <c r="C199" s="12"/>
    </row>
    <row r="200">
      <c r="C200" s="12"/>
    </row>
    <row r="201">
      <c r="C201" s="12"/>
    </row>
    <row r="202">
      <c r="C202" s="12"/>
    </row>
    <row r="203">
      <c r="C203" s="12"/>
    </row>
    <row r="204">
      <c r="C204" s="12"/>
    </row>
    <row r="205">
      <c r="C205" s="12"/>
    </row>
    <row r="206">
      <c r="C206" s="12"/>
    </row>
    <row r="207">
      <c r="C207" s="12"/>
    </row>
    <row r="208">
      <c r="C208" s="12"/>
    </row>
    <row r="209">
      <c r="C209" s="12"/>
    </row>
    <row r="210">
      <c r="C210" s="12"/>
    </row>
    <row r="211">
      <c r="C211" s="12"/>
    </row>
    <row r="212">
      <c r="C212" s="12"/>
    </row>
    <row r="213">
      <c r="C213" s="12"/>
    </row>
    <row r="214">
      <c r="C214" s="12"/>
    </row>
    <row r="215">
      <c r="C215" s="12"/>
    </row>
    <row r="216">
      <c r="C216" s="12"/>
    </row>
    <row r="217">
      <c r="C217" s="12"/>
    </row>
    <row r="218">
      <c r="C218" s="12"/>
    </row>
    <row r="219">
      <c r="C219" s="12"/>
    </row>
    <row r="220">
      <c r="C220" s="12"/>
    </row>
    <row r="221">
      <c r="C221" s="12"/>
    </row>
    <row r="222">
      <c r="C222" s="12"/>
    </row>
    <row r="223">
      <c r="C223" s="12"/>
    </row>
    <row r="224">
      <c r="C224" s="12"/>
    </row>
    <row r="225">
      <c r="C225" s="12"/>
    </row>
    <row r="226">
      <c r="C226" s="12"/>
    </row>
    <row r="227">
      <c r="C227" s="12"/>
    </row>
    <row r="228">
      <c r="C228" s="12"/>
    </row>
    <row r="229">
      <c r="C229" s="12"/>
    </row>
    <row r="230">
      <c r="C230" s="12"/>
    </row>
    <row r="231">
      <c r="C231" s="12"/>
    </row>
    <row r="232">
      <c r="C232" s="12"/>
    </row>
    <row r="233">
      <c r="C233" s="12"/>
    </row>
    <row r="234">
      <c r="C234" s="12"/>
    </row>
    <row r="235">
      <c r="C235" s="12"/>
    </row>
    <row r="236">
      <c r="C236" s="12"/>
    </row>
    <row r="237">
      <c r="C237" s="12"/>
    </row>
    <row r="238">
      <c r="C238" s="12"/>
    </row>
    <row r="239">
      <c r="C239" s="12"/>
    </row>
    <row r="240">
      <c r="C240" s="12"/>
    </row>
    <row r="241">
      <c r="C241" s="12"/>
    </row>
    <row r="242">
      <c r="C242" s="12"/>
    </row>
    <row r="243">
      <c r="C243" s="12"/>
    </row>
    <row r="244">
      <c r="C244" s="12"/>
    </row>
    <row r="245">
      <c r="C245" s="12"/>
    </row>
    <row r="246">
      <c r="C246" s="12"/>
    </row>
    <row r="247">
      <c r="C247" s="12"/>
    </row>
    <row r="248">
      <c r="C248" s="12"/>
    </row>
    <row r="249">
      <c r="C249" s="12"/>
    </row>
    <row r="250">
      <c r="C250" s="12"/>
    </row>
    <row r="251">
      <c r="C251" s="12"/>
    </row>
    <row r="252">
      <c r="C252" s="12"/>
    </row>
    <row r="253">
      <c r="C253" s="12"/>
    </row>
    <row r="254">
      <c r="C254" s="12"/>
    </row>
    <row r="255">
      <c r="C255" s="12"/>
    </row>
    <row r="256">
      <c r="C256" s="12"/>
    </row>
    <row r="257">
      <c r="C257" s="12"/>
    </row>
    <row r="258">
      <c r="C258" s="12"/>
    </row>
    <row r="259">
      <c r="C259" s="12"/>
    </row>
    <row r="260">
      <c r="C260" s="12"/>
    </row>
    <row r="261">
      <c r="C261" s="12"/>
    </row>
    <row r="262">
      <c r="C262" s="12"/>
    </row>
    <row r="263">
      <c r="C263" s="12"/>
    </row>
    <row r="264">
      <c r="C264" s="12"/>
    </row>
    <row r="265">
      <c r="C265" s="12"/>
    </row>
    <row r="266">
      <c r="C266" s="12"/>
    </row>
    <row r="267">
      <c r="C267" s="12"/>
    </row>
    <row r="268">
      <c r="C268" s="12"/>
    </row>
    <row r="269">
      <c r="C269" s="12"/>
    </row>
    <row r="270">
      <c r="C270" s="12"/>
    </row>
    <row r="271">
      <c r="C271" s="12"/>
    </row>
    <row r="272">
      <c r="C272" s="12"/>
    </row>
    <row r="273">
      <c r="C273" s="12"/>
    </row>
    <row r="274">
      <c r="C274" s="12"/>
    </row>
    <row r="275">
      <c r="C275" s="12"/>
    </row>
    <row r="276">
      <c r="C276" s="12"/>
    </row>
    <row r="277">
      <c r="C277" s="12"/>
    </row>
    <row r="278">
      <c r="C278" s="12"/>
    </row>
    <row r="279">
      <c r="C279" s="12"/>
    </row>
    <row r="280">
      <c r="C280" s="12"/>
    </row>
    <row r="281">
      <c r="C281" s="12"/>
    </row>
    <row r="282">
      <c r="C282" s="12"/>
    </row>
    <row r="283">
      <c r="C283" s="12"/>
    </row>
    <row r="284">
      <c r="C284" s="12"/>
    </row>
    <row r="285">
      <c r="C285" s="12"/>
    </row>
    <row r="286">
      <c r="C286" s="12"/>
    </row>
    <row r="287">
      <c r="C287" s="12"/>
    </row>
    <row r="288">
      <c r="C288" s="12"/>
    </row>
    <row r="289">
      <c r="C289" s="12"/>
    </row>
    <row r="290">
      <c r="C290" s="12"/>
    </row>
    <row r="291">
      <c r="C291" s="12"/>
    </row>
    <row r="292">
      <c r="C292" s="12"/>
    </row>
    <row r="293">
      <c r="C293" s="12"/>
    </row>
    <row r="294">
      <c r="C294" s="12"/>
    </row>
    <row r="295">
      <c r="C295" s="12"/>
    </row>
    <row r="296">
      <c r="C296" s="12"/>
    </row>
    <row r="297">
      <c r="C297" s="12"/>
    </row>
    <row r="298">
      <c r="C298" s="12"/>
    </row>
    <row r="299">
      <c r="C299" s="12"/>
    </row>
    <row r="300">
      <c r="C300" s="12"/>
    </row>
    <row r="301">
      <c r="C301" s="12"/>
    </row>
    <row r="302">
      <c r="C302" s="12"/>
    </row>
    <row r="303">
      <c r="C303" s="12"/>
    </row>
    <row r="304">
      <c r="C304" s="12"/>
    </row>
    <row r="305">
      <c r="C305" s="12"/>
    </row>
    <row r="306">
      <c r="C306" s="12"/>
    </row>
    <row r="307">
      <c r="C307" s="12"/>
    </row>
    <row r="308">
      <c r="C308" s="12"/>
    </row>
    <row r="309">
      <c r="C309" s="12"/>
    </row>
    <row r="310">
      <c r="C310" s="12"/>
    </row>
    <row r="311">
      <c r="C311" s="12"/>
    </row>
    <row r="312">
      <c r="C312" s="12"/>
    </row>
    <row r="313">
      <c r="C313" s="12"/>
    </row>
    <row r="314">
      <c r="C314" s="12"/>
    </row>
    <row r="315">
      <c r="C315" s="12"/>
    </row>
    <row r="316">
      <c r="C316" s="12"/>
    </row>
    <row r="317">
      <c r="C317" s="12"/>
    </row>
    <row r="318">
      <c r="C318" s="12"/>
    </row>
    <row r="319">
      <c r="C319" s="12"/>
    </row>
    <row r="320">
      <c r="C320" s="12"/>
    </row>
    <row r="321">
      <c r="C321" s="12"/>
    </row>
    <row r="322">
      <c r="C322" s="12"/>
    </row>
    <row r="323">
      <c r="C323" s="12"/>
    </row>
    <row r="324">
      <c r="C324" s="12"/>
    </row>
    <row r="325">
      <c r="C325" s="12"/>
    </row>
    <row r="326">
      <c r="C326" s="12"/>
    </row>
    <row r="327">
      <c r="C327" s="12"/>
    </row>
    <row r="328">
      <c r="C328" s="12"/>
    </row>
    <row r="329">
      <c r="C329" s="12"/>
    </row>
    <row r="330">
      <c r="C330" s="12"/>
    </row>
    <row r="331">
      <c r="C331" s="12"/>
    </row>
    <row r="332">
      <c r="C332" s="12"/>
    </row>
    <row r="333">
      <c r="C333" s="12"/>
    </row>
    <row r="334">
      <c r="C334" s="12"/>
    </row>
    <row r="335">
      <c r="C335" s="12"/>
    </row>
    <row r="336">
      <c r="C336" s="12"/>
    </row>
    <row r="337">
      <c r="C337" s="12"/>
    </row>
    <row r="338">
      <c r="C338" s="12"/>
    </row>
    <row r="339">
      <c r="C339" s="12"/>
    </row>
    <row r="340">
      <c r="C340" s="12"/>
    </row>
    <row r="341">
      <c r="C341" s="12"/>
    </row>
    <row r="342">
      <c r="C342" s="12"/>
    </row>
    <row r="343">
      <c r="C343" s="12"/>
    </row>
    <row r="344">
      <c r="C344" s="12"/>
    </row>
    <row r="345">
      <c r="C345" s="12"/>
    </row>
    <row r="346">
      <c r="C346" s="12"/>
    </row>
    <row r="347">
      <c r="C347" s="12"/>
    </row>
    <row r="348">
      <c r="C348" s="12"/>
    </row>
    <row r="349">
      <c r="C349" s="12"/>
    </row>
    <row r="350">
      <c r="C350" s="12"/>
    </row>
    <row r="351">
      <c r="C351" s="12"/>
    </row>
    <row r="352">
      <c r="C352" s="12"/>
    </row>
    <row r="353">
      <c r="C353" s="12"/>
    </row>
    <row r="354">
      <c r="C354" s="12"/>
    </row>
    <row r="355">
      <c r="C355" s="12"/>
    </row>
    <row r="356">
      <c r="C356" s="12"/>
    </row>
    <row r="357">
      <c r="C357" s="12"/>
    </row>
    <row r="358">
      <c r="C358" s="12"/>
    </row>
    <row r="359">
      <c r="C359" s="12"/>
    </row>
    <row r="360">
      <c r="C360" s="12"/>
    </row>
    <row r="361">
      <c r="C361" s="12"/>
    </row>
    <row r="362">
      <c r="C362" s="12"/>
    </row>
    <row r="363">
      <c r="C363" s="12"/>
    </row>
    <row r="364">
      <c r="C364" s="12"/>
    </row>
    <row r="365">
      <c r="C365" s="12"/>
    </row>
    <row r="366">
      <c r="C366" s="12"/>
    </row>
    <row r="367">
      <c r="C367" s="12"/>
    </row>
    <row r="368">
      <c r="C368" s="12"/>
    </row>
    <row r="369">
      <c r="C369" s="12"/>
    </row>
    <row r="370">
      <c r="C370" s="12"/>
    </row>
    <row r="371">
      <c r="C371" s="12"/>
    </row>
    <row r="372">
      <c r="C372" s="12"/>
    </row>
    <row r="373">
      <c r="C373" s="12"/>
    </row>
    <row r="374">
      <c r="C374" s="12"/>
    </row>
    <row r="375">
      <c r="C375" s="12"/>
    </row>
    <row r="376">
      <c r="C376" s="12"/>
    </row>
    <row r="377">
      <c r="C377" s="12"/>
    </row>
    <row r="378">
      <c r="C378" s="12"/>
    </row>
    <row r="379">
      <c r="C379" s="12"/>
    </row>
    <row r="380">
      <c r="C380" s="12"/>
    </row>
    <row r="381">
      <c r="C381" s="12"/>
    </row>
    <row r="382">
      <c r="C382" s="12"/>
    </row>
    <row r="383">
      <c r="C383" s="12"/>
    </row>
    <row r="384">
      <c r="C384" s="12"/>
    </row>
    <row r="385">
      <c r="C385" s="12"/>
    </row>
    <row r="386">
      <c r="C386" s="12"/>
    </row>
    <row r="387">
      <c r="C387" s="12"/>
    </row>
    <row r="388">
      <c r="C388" s="12"/>
    </row>
    <row r="389">
      <c r="C389" s="12"/>
    </row>
    <row r="390">
      <c r="C390" s="12"/>
    </row>
    <row r="391">
      <c r="C391" s="12"/>
    </row>
    <row r="392">
      <c r="C392" s="12"/>
    </row>
    <row r="393">
      <c r="C393" s="12"/>
    </row>
    <row r="394">
      <c r="C394" s="12"/>
    </row>
    <row r="395">
      <c r="C395" s="12"/>
    </row>
    <row r="396">
      <c r="C396" s="12"/>
    </row>
    <row r="397">
      <c r="C397" s="12"/>
    </row>
    <row r="398">
      <c r="C398" s="12"/>
    </row>
    <row r="399">
      <c r="C399" s="12"/>
    </row>
    <row r="400">
      <c r="C400" s="12"/>
    </row>
    <row r="401">
      <c r="C401" s="12"/>
    </row>
    <row r="402">
      <c r="C402" s="12"/>
    </row>
    <row r="403">
      <c r="C403" s="12"/>
    </row>
    <row r="404">
      <c r="C404" s="12"/>
    </row>
    <row r="405">
      <c r="C405" s="12"/>
    </row>
    <row r="406">
      <c r="C406" s="12"/>
    </row>
    <row r="407">
      <c r="C407" s="12"/>
    </row>
    <row r="408">
      <c r="C408" s="12"/>
    </row>
    <row r="409">
      <c r="C409" s="12"/>
    </row>
    <row r="410">
      <c r="C410" s="12"/>
    </row>
    <row r="411">
      <c r="C411" s="12"/>
    </row>
    <row r="412">
      <c r="C412" s="12"/>
    </row>
    <row r="413">
      <c r="C413" s="12"/>
    </row>
    <row r="414">
      <c r="C414" s="12"/>
    </row>
    <row r="415">
      <c r="C415" s="12"/>
    </row>
    <row r="416">
      <c r="C416" s="12"/>
    </row>
    <row r="417">
      <c r="C417" s="12"/>
    </row>
    <row r="418">
      <c r="C418" s="12"/>
    </row>
    <row r="419">
      <c r="C419" s="12"/>
    </row>
    <row r="420">
      <c r="C420" s="12"/>
    </row>
    <row r="421">
      <c r="C421" s="12"/>
    </row>
    <row r="422">
      <c r="C422" s="12"/>
    </row>
    <row r="423">
      <c r="C423" s="12"/>
    </row>
    <row r="424">
      <c r="C424" s="12"/>
    </row>
    <row r="425">
      <c r="C425" s="12"/>
    </row>
    <row r="426">
      <c r="C426" s="12"/>
    </row>
    <row r="427">
      <c r="C427" s="12"/>
    </row>
    <row r="428">
      <c r="C428" s="12"/>
    </row>
    <row r="429">
      <c r="C429" s="12"/>
    </row>
    <row r="430">
      <c r="C430" s="12"/>
    </row>
    <row r="431">
      <c r="C431" s="12"/>
    </row>
    <row r="432">
      <c r="C432" s="12"/>
    </row>
    <row r="433">
      <c r="C433" s="12"/>
    </row>
    <row r="434">
      <c r="C434" s="12"/>
    </row>
    <row r="435">
      <c r="C435" s="12"/>
    </row>
    <row r="436">
      <c r="C436" s="12"/>
    </row>
    <row r="437">
      <c r="C437" s="12"/>
    </row>
    <row r="438">
      <c r="C438" s="12"/>
    </row>
    <row r="439">
      <c r="C439" s="12"/>
    </row>
    <row r="440">
      <c r="C440" s="12"/>
    </row>
    <row r="441">
      <c r="C441" s="12"/>
    </row>
    <row r="442">
      <c r="C442" s="12"/>
    </row>
    <row r="443">
      <c r="C443" s="12"/>
    </row>
    <row r="444">
      <c r="C444" s="12"/>
    </row>
    <row r="445">
      <c r="C445" s="12"/>
    </row>
    <row r="446">
      <c r="C446" s="12"/>
    </row>
    <row r="447">
      <c r="C447" s="12"/>
    </row>
    <row r="448">
      <c r="C448" s="12"/>
    </row>
    <row r="449">
      <c r="C449" s="12"/>
    </row>
    <row r="450">
      <c r="C450" s="12"/>
    </row>
    <row r="451">
      <c r="C451" s="12"/>
    </row>
    <row r="452">
      <c r="C452" s="12"/>
    </row>
    <row r="453">
      <c r="C453" s="12"/>
    </row>
    <row r="454">
      <c r="C454" s="12"/>
    </row>
    <row r="455">
      <c r="C455" s="12"/>
    </row>
    <row r="456">
      <c r="C456" s="12"/>
    </row>
    <row r="457">
      <c r="C457" s="12"/>
    </row>
    <row r="458">
      <c r="C458" s="12"/>
    </row>
    <row r="459">
      <c r="C459" s="12"/>
    </row>
    <row r="460">
      <c r="C460" s="12"/>
    </row>
    <row r="461">
      <c r="C461" s="12"/>
    </row>
    <row r="462">
      <c r="C462" s="12"/>
    </row>
    <row r="463">
      <c r="C463" s="12"/>
    </row>
    <row r="464">
      <c r="C464" s="12"/>
    </row>
    <row r="465">
      <c r="C465" s="12"/>
    </row>
    <row r="466">
      <c r="C466" s="12"/>
    </row>
    <row r="467">
      <c r="C467" s="12"/>
    </row>
    <row r="468">
      <c r="C468" s="12"/>
    </row>
    <row r="469">
      <c r="C469" s="12"/>
    </row>
    <row r="470">
      <c r="C470" s="12"/>
    </row>
    <row r="471">
      <c r="C471" s="12"/>
    </row>
    <row r="472">
      <c r="C472" s="12"/>
    </row>
    <row r="473">
      <c r="C473" s="12"/>
    </row>
    <row r="474">
      <c r="C474" s="12"/>
    </row>
    <row r="475">
      <c r="C475" s="12"/>
    </row>
    <row r="476">
      <c r="C476" s="12"/>
    </row>
    <row r="477">
      <c r="C477" s="12"/>
    </row>
    <row r="478">
      <c r="C478" s="12"/>
    </row>
    <row r="479">
      <c r="C479" s="12"/>
    </row>
    <row r="480">
      <c r="C480" s="12"/>
    </row>
    <row r="481">
      <c r="C481" s="12"/>
    </row>
    <row r="482">
      <c r="C482" s="12"/>
    </row>
    <row r="483">
      <c r="C483" s="12"/>
    </row>
    <row r="484">
      <c r="C484" s="12"/>
    </row>
    <row r="485">
      <c r="C485" s="12"/>
    </row>
    <row r="486">
      <c r="C486" s="12"/>
    </row>
    <row r="487">
      <c r="C487" s="12"/>
    </row>
    <row r="488">
      <c r="C488" s="12"/>
    </row>
    <row r="489">
      <c r="C489" s="12"/>
    </row>
    <row r="490">
      <c r="C490" s="12"/>
    </row>
    <row r="491">
      <c r="C491" s="12"/>
    </row>
    <row r="492">
      <c r="C492" s="12"/>
    </row>
    <row r="493">
      <c r="C493" s="12"/>
    </row>
    <row r="494">
      <c r="C494" s="12"/>
    </row>
    <row r="495">
      <c r="C495" s="12"/>
    </row>
    <row r="496">
      <c r="C496" s="12"/>
    </row>
    <row r="497">
      <c r="C497" s="12"/>
    </row>
    <row r="498">
      <c r="C498" s="12"/>
    </row>
    <row r="499">
      <c r="C499" s="12"/>
    </row>
    <row r="500">
      <c r="C500" s="12"/>
    </row>
    <row r="501">
      <c r="C501" s="12"/>
    </row>
    <row r="502">
      <c r="C502" s="12"/>
    </row>
    <row r="503">
      <c r="C503" s="12"/>
    </row>
    <row r="504">
      <c r="C504" s="12"/>
    </row>
    <row r="505">
      <c r="C505" s="12"/>
    </row>
    <row r="506">
      <c r="C506" s="12"/>
    </row>
    <row r="507">
      <c r="C507" s="12"/>
    </row>
    <row r="508">
      <c r="C508" s="12"/>
    </row>
    <row r="509">
      <c r="C509" s="12"/>
    </row>
    <row r="510">
      <c r="C510" s="12"/>
    </row>
    <row r="511">
      <c r="C511" s="12"/>
    </row>
    <row r="512">
      <c r="C512" s="12"/>
    </row>
    <row r="513">
      <c r="C513" s="12"/>
    </row>
    <row r="514">
      <c r="C514" s="12"/>
    </row>
    <row r="515">
      <c r="C515" s="12"/>
    </row>
    <row r="516">
      <c r="C516" s="12"/>
    </row>
    <row r="517">
      <c r="C517" s="12"/>
    </row>
    <row r="518">
      <c r="C518" s="12"/>
    </row>
    <row r="519">
      <c r="C519" s="12"/>
    </row>
    <row r="520">
      <c r="C520" s="12"/>
    </row>
    <row r="521">
      <c r="C521" s="12"/>
    </row>
    <row r="522">
      <c r="C522" s="12"/>
    </row>
    <row r="523">
      <c r="C523" s="12"/>
    </row>
    <row r="524">
      <c r="C524" s="12"/>
    </row>
    <row r="525">
      <c r="C525" s="12"/>
    </row>
    <row r="526">
      <c r="C526" s="12"/>
    </row>
    <row r="527">
      <c r="C527" s="12"/>
    </row>
    <row r="528">
      <c r="C528" s="12"/>
    </row>
    <row r="529">
      <c r="C529" s="12"/>
    </row>
    <row r="530">
      <c r="C530" s="12"/>
    </row>
    <row r="531">
      <c r="C531" s="12"/>
    </row>
    <row r="532">
      <c r="C532" s="12"/>
    </row>
    <row r="533">
      <c r="C533" s="12"/>
    </row>
    <row r="534">
      <c r="C534" s="12"/>
    </row>
    <row r="535">
      <c r="C535" s="12"/>
    </row>
    <row r="536">
      <c r="C536" s="12"/>
    </row>
    <row r="537">
      <c r="C537" s="12"/>
    </row>
    <row r="538">
      <c r="C538" s="12"/>
    </row>
    <row r="539">
      <c r="C539" s="12"/>
    </row>
    <row r="540">
      <c r="C540" s="12"/>
    </row>
    <row r="541">
      <c r="C541" s="12"/>
    </row>
    <row r="542">
      <c r="C542" s="12"/>
    </row>
    <row r="543">
      <c r="C543" s="12"/>
    </row>
    <row r="544">
      <c r="C544" s="12"/>
    </row>
    <row r="545">
      <c r="C545" s="12"/>
    </row>
    <row r="546">
      <c r="C546" s="12"/>
    </row>
    <row r="547">
      <c r="C547" s="12"/>
    </row>
    <row r="548">
      <c r="C548" s="12"/>
    </row>
    <row r="549">
      <c r="C549" s="12"/>
    </row>
    <row r="550">
      <c r="C550" s="12"/>
    </row>
    <row r="551">
      <c r="C551" s="12"/>
    </row>
    <row r="552">
      <c r="C552" s="12"/>
    </row>
    <row r="553">
      <c r="C553" s="12"/>
    </row>
    <row r="554">
      <c r="C554" s="12"/>
    </row>
    <row r="555">
      <c r="C555" s="12"/>
    </row>
    <row r="556">
      <c r="C556" s="12"/>
    </row>
    <row r="557">
      <c r="C557" s="12"/>
    </row>
    <row r="558">
      <c r="C558" s="12"/>
    </row>
    <row r="559">
      <c r="C559" s="12"/>
    </row>
    <row r="560">
      <c r="C560" s="12"/>
    </row>
    <row r="561">
      <c r="C561" s="12"/>
    </row>
    <row r="562">
      <c r="C562" s="12"/>
    </row>
    <row r="563">
      <c r="C563" s="12"/>
    </row>
    <row r="564">
      <c r="C564" s="12"/>
    </row>
    <row r="565">
      <c r="C565" s="12"/>
    </row>
    <row r="566">
      <c r="C566" s="12"/>
    </row>
    <row r="567">
      <c r="C567" s="12"/>
    </row>
    <row r="568">
      <c r="C568" s="12"/>
    </row>
    <row r="569">
      <c r="C569" s="12"/>
    </row>
    <row r="570">
      <c r="C570" s="12"/>
    </row>
    <row r="571">
      <c r="C571" s="12"/>
    </row>
    <row r="572">
      <c r="C572" s="12"/>
    </row>
    <row r="573">
      <c r="C573" s="12"/>
    </row>
    <row r="574">
      <c r="C574" s="12"/>
    </row>
    <row r="575">
      <c r="C575" s="12"/>
    </row>
    <row r="576">
      <c r="C576" s="12"/>
    </row>
    <row r="577">
      <c r="C577" s="12"/>
    </row>
    <row r="578">
      <c r="C578" s="12"/>
    </row>
    <row r="579">
      <c r="C579" s="12"/>
    </row>
    <row r="580">
      <c r="C580" s="12"/>
    </row>
    <row r="581">
      <c r="C581" s="12"/>
    </row>
    <row r="582">
      <c r="C582" s="12"/>
    </row>
    <row r="583">
      <c r="C583" s="12"/>
    </row>
    <row r="584">
      <c r="C584" s="12"/>
    </row>
    <row r="585">
      <c r="C585" s="12"/>
    </row>
    <row r="586">
      <c r="C586" s="12"/>
    </row>
    <row r="587">
      <c r="C587" s="12"/>
    </row>
    <row r="588">
      <c r="C588" s="12"/>
    </row>
    <row r="589">
      <c r="C589" s="12"/>
    </row>
    <row r="590">
      <c r="C590" s="12"/>
    </row>
    <row r="591">
      <c r="C591" s="12"/>
    </row>
    <row r="592">
      <c r="C592" s="12"/>
    </row>
    <row r="593">
      <c r="C593" s="12"/>
    </row>
    <row r="594">
      <c r="C594" s="12"/>
    </row>
    <row r="595">
      <c r="C595" s="12"/>
    </row>
    <row r="596">
      <c r="C596" s="12"/>
    </row>
    <row r="597">
      <c r="C597" s="12"/>
    </row>
    <row r="598">
      <c r="C598" s="12"/>
    </row>
    <row r="599">
      <c r="C599" s="12"/>
    </row>
    <row r="600">
      <c r="C600" s="12"/>
    </row>
    <row r="601">
      <c r="C601" s="12"/>
    </row>
    <row r="602">
      <c r="C602" s="12"/>
    </row>
    <row r="603">
      <c r="C603" s="12"/>
    </row>
    <row r="604">
      <c r="C604" s="12"/>
    </row>
    <row r="605">
      <c r="C605" s="12"/>
    </row>
    <row r="606">
      <c r="C606" s="12"/>
    </row>
    <row r="607">
      <c r="C607" s="12"/>
    </row>
    <row r="608">
      <c r="C608" s="12"/>
    </row>
    <row r="609">
      <c r="C609" s="12"/>
    </row>
    <row r="610">
      <c r="C610" s="12"/>
    </row>
    <row r="611">
      <c r="C611" s="12"/>
    </row>
    <row r="612">
      <c r="C612" s="12"/>
    </row>
    <row r="613">
      <c r="C613" s="12"/>
    </row>
    <row r="614">
      <c r="C614" s="12"/>
    </row>
    <row r="615">
      <c r="C615" s="12"/>
    </row>
    <row r="616">
      <c r="C616" s="12"/>
    </row>
    <row r="617">
      <c r="C617" s="12"/>
    </row>
    <row r="618">
      <c r="C618" s="12"/>
    </row>
    <row r="619">
      <c r="C619" s="12"/>
    </row>
    <row r="620">
      <c r="C620" s="12"/>
    </row>
    <row r="621">
      <c r="C621" s="12"/>
    </row>
    <row r="622">
      <c r="C622" s="12"/>
    </row>
    <row r="623">
      <c r="C623" s="12"/>
    </row>
    <row r="624">
      <c r="C624" s="12"/>
    </row>
    <row r="625">
      <c r="C625" s="12"/>
    </row>
    <row r="626">
      <c r="C626" s="12"/>
    </row>
    <row r="627">
      <c r="C627" s="12"/>
    </row>
    <row r="628">
      <c r="C628" s="12"/>
    </row>
    <row r="629">
      <c r="C629" s="12"/>
    </row>
    <row r="630">
      <c r="C630" s="12"/>
    </row>
    <row r="631">
      <c r="C631" s="12"/>
    </row>
    <row r="632">
      <c r="C632" s="12"/>
    </row>
    <row r="633">
      <c r="C633" s="12"/>
    </row>
    <row r="634">
      <c r="C634" s="12"/>
    </row>
    <row r="635">
      <c r="C635" s="12"/>
    </row>
    <row r="636">
      <c r="C636" s="12"/>
    </row>
    <row r="637">
      <c r="C637" s="12"/>
    </row>
    <row r="638">
      <c r="C638" s="12"/>
    </row>
    <row r="639">
      <c r="C639" s="12"/>
    </row>
    <row r="640">
      <c r="C640" s="12"/>
    </row>
    <row r="641">
      <c r="C641" s="12"/>
    </row>
    <row r="642">
      <c r="C642" s="12"/>
    </row>
    <row r="643">
      <c r="C643" s="12"/>
    </row>
    <row r="644">
      <c r="C644" s="12"/>
    </row>
    <row r="645">
      <c r="C645" s="12"/>
    </row>
    <row r="646">
      <c r="C646" s="12"/>
    </row>
    <row r="647">
      <c r="C647" s="12"/>
    </row>
    <row r="648">
      <c r="C648" s="12"/>
    </row>
    <row r="649">
      <c r="C649" s="12"/>
    </row>
    <row r="650">
      <c r="C650" s="12"/>
    </row>
    <row r="651">
      <c r="C651" s="12"/>
    </row>
    <row r="652">
      <c r="C652" s="12"/>
    </row>
    <row r="653">
      <c r="C653" s="12"/>
    </row>
    <row r="654">
      <c r="C654" s="12"/>
    </row>
    <row r="655">
      <c r="C655" s="12"/>
    </row>
    <row r="656">
      <c r="C656" s="12"/>
    </row>
    <row r="657">
      <c r="C657" s="12"/>
    </row>
    <row r="658">
      <c r="C658" s="12"/>
    </row>
    <row r="659">
      <c r="C659" s="12"/>
    </row>
    <row r="660">
      <c r="C660" s="12"/>
    </row>
    <row r="661">
      <c r="C661" s="12"/>
    </row>
    <row r="662">
      <c r="C662" s="12"/>
    </row>
    <row r="663">
      <c r="C663" s="12"/>
    </row>
    <row r="664">
      <c r="C664" s="12"/>
    </row>
    <row r="665">
      <c r="C665" s="12"/>
    </row>
    <row r="666">
      <c r="C666" s="12"/>
    </row>
    <row r="667">
      <c r="C667" s="12"/>
    </row>
    <row r="668">
      <c r="C668" s="12"/>
    </row>
    <row r="669">
      <c r="C669" s="12"/>
    </row>
    <row r="670">
      <c r="C670" s="12"/>
    </row>
    <row r="671">
      <c r="C671" s="12"/>
    </row>
    <row r="672">
      <c r="C672" s="12"/>
    </row>
    <row r="673">
      <c r="C673" s="12"/>
    </row>
    <row r="674">
      <c r="C674" s="12"/>
    </row>
    <row r="675">
      <c r="C675" s="12"/>
    </row>
    <row r="676">
      <c r="C676" s="12"/>
    </row>
    <row r="677">
      <c r="C677" s="12"/>
    </row>
    <row r="678">
      <c r="C678" s="12"/>
    </row>
    <row r="679">
      <c r="C679" s="12"/>
    </row>
    <row r="680">
      <c r="C680" s="12"/>
    </row>
    <row r="681">
      <c r="C681" s="12"/>
    </row>
    <row r="682">
      <c r="C682" s="12"/>
    </row>
    <row r="683">
      <c r="C683" s="12"/>
    </row>
    <row r="684">
      <c r="C684" s="12"/>
    </row>
    <row r="685">
      <c r="C685" s="12"/>
    </row>
    <row r="686">
      <c r="C686" s="12"/>
    </row>
    <row r="687">
      <c r="C687" s="12"/>
    </row>
    <row r="688">
      <c r="C688" s="12"/>
    </row>
    <row r="689">
      <c r="C689" s="12"/>
    </row>
    <row r="690">
      <c r="C690" s="12"/>
    </row>
    <row r="691">
      <c r="C691" s="12"/>
    </row>
    <row r="692">
      <c r="C692" s="12"/>
    </row>
    <row r="693">
      <c r="C693" s="12"/>
    </row>
    <row r="694">
      <c r="C694" s="12"/>
    </row>
    <row r="695">
      <c r="C695" s="12"/>
    </row>
    <row r="696">
      <c r="C696" s="12"/>
    </row>
    <row r="697">
      <c r="C697" s="12"/>
    </row>
    <row r="698">
      <c r="C698" s="12"/>
    </row>
    <row r="699">
      <c r="C699" s="12"/>
    </row>
    <row r="700">
      <c r="C700" s="12"/>
    </row>
    <row r="701">
      <c r="C701" s="12"/>
    </row>
    <row r="702">
      <c r="C702" s="12"/>
    </row>
    <row r="703">
      <c r="C703" s="12"/>
    </row>
    <row r="704">
      <c r="C704" s="12"/>
    </row>
    <row r="705">
      <c r="C705" s="12"/>
    </row>
    <row r="706">
      <c r="C706" s="12"/>
    </row>
    <row r="707">
      <c r="C707" s="12"/>
    </row>
    <row r="708">
      <c r="C708" s="12"/>
    </row>
    <row r="709">
      <c r="C709" s="12"/>
    </row>
    <row r="710">
      <c r="C710" s="12"/>
    </row>
    <row r="711">
      <c r="C711" s="12"/>
    </row>
    <row r="712">
      <c r="C712" s="12"/>
    </row>
    <row r="713">
      <c r="C713" s="12"/>
    </row>
    <row r="714">
      <c r="C714" s="12"/>
    </row>
    <row r="715">
      <c r="C715" s="12"/>
    </row>
    <row r="716">
      <c r="C716" s="12"/>
    </row>
    <row r="717">
      <c r="C717" s="12"/>
    </row>
    <row r="718">
      <c r="C718" s="12"/>
    </row>
    <row r="719">
      <c r="C719" s="12"/>
    </row>
    <row r="720">
      <c r="C720" s="12"/>
    </row>
    <row r="721">
      <c r="C721" s="12"/>
    </row>
    <row r="722">
      <c r="C722" s="12"/>
    </row>
    <row r="723">
      <c r="C723" s="12"/>
    </row>
    <row r="724">
      <c r="C724" s="12"/>
    </row>
    <row r="725">
      <c r="C725" s="12"/>
    </row>
    <row r="726">
      <c r="C726" s="12"/>
    </row>
    <row r="727">
      <c r="C727" s="12"/>
    </row>
    <row r="728">
      <c r="C728" s="12"/>
    </row>
    <row r="729">
      <c r="C729" s="12"/>
    </row>
    <row r="730">
      <c r="C730" s="12"/>
    </row>
    <row r="731">
      <c r="C731" s="12"/>
    </row>
    <row r="732">
      <c r="C732" s="12"/>
    </row>
    <row r="733">
      <c r="C733" s="12"/>
    </row>
    <row r="734">
      <c r="C734" s="12"/>
    </row>
    <row r="735">
      <c r="C735" s="12"/>
    </row>
    <row r="736">
      <c r="C736" s="12"/>
    </row>
    <row r="737">
      <c r="C737" s="12"/>
    </row>
    <row r="738">
      <c r="C738" s="12"/>
    </row>
    <row r="739">
      <c r="C739" s="12"/>
    </row>
    <row r="740">
      <c r="C740" s="12"/>
    </row>
    <row r="741">
      <c r="C741" s="12"/>
    </row>
    <row r="742">
      <c r="C742" s="12"/>
    </row>
    <row r="743">
      <c r="C743" s="12"/>
    </row>
    <row r="744">
      <c r="C744" s="12"/>
    </row>
    <row r="745">
      <c r="C745" s="12"/>
    </row>
    <row r="746">
      <c r="C746" s="12"/>
    </row>
    <row r="747">
      <c r="C747" s="12"/>
    </row>
    <row r="748">
      <c r="C748" s="12"/>
    </row>
    <row r="749">
      <c r="C749" s="12"/>
    </row>
    <row r="750">
      <c r="C750" s="12"/>
    </row>
    <row r="751">
      <c r="C751" s="12"/>
    </row>
    <row r="752">
      <c r="C752" s="12"/>
    </row>
    <row r="753">
      <c r="C753" s="12"/>
    </row>
    <row r="754">
      <c r="C754" s="12"/>
    </row>
    <row r="755">
      <c r="C755" s="12"/>
    </row>
    <row r="756">
      <c r="C756" s="12"/>
    </row>
    <row r="757">
      <c r="C757" s="12"/>
    </row>
    <row r="758">
      <c r="C758" s="12"/>
    </row>
    <row r="759">
      <c r="C759" s="12"/>
    </row>
    <row r="760">
      <c r="C760" s="12"/>
    </row>
    <row r="761">
      <c r="C761" s="12"/>
    </row>
    <row r="762">
      <c r="C762" s="12"/>
    </row>
    <row r="763">
      <c r="C763" s="12"/>
    </row>
    <row r="764">
      <c r="C764" s="12"/>
    </row>
    <row r="765">
      <c r="C765" s="12"/>
    </row>
    <row r="766">
      <c r="C766" s="12"/>
    </row>
    <row r="767">
      <c r="C767" s="12"/>
    </row>
    <row r="768">
      <c r="C768" s="12"/>
    </row>
    <row r="769">
      <c r="C769" s="12"/>
    </row>
    <row r="770">
      <c r="C770" s="12"/>
    </row>
    <row r="771">
      <c r="C771" s="12"/>
    </row>
    <row r="772">
      <c r="C772" s="12"/>
    </row>
    <row r="773">
      <c r="C773" s="12"/>
    </row>
    <row r="774">
      <c r="C774" s="12"/>
    </row>
    <row r="775">
      <c r="C775" s="12"/>
    </row>
    <row r="776">
      <c r="C776" s="12"/>
    </row>
    <row r="777">
      <c r="C777" s="12"/>
    </row>
    <row r="778">
      <c r="C778" s="12"/>
    </row>
    <row r="779">
      <c r="C779" s="12"/>
    </row>
    <row r="780">
      <c r="C780" s="12"/>
    </row>
    <row r="781">
      <c r="C781" s="12"/>
    </row>
    <row r="782">
      <c r="C782" s="12"/>
    </row>
    <row r="783">
      <c r="C783" s="12"/>
    </row>
    <row r="784">
      <c r="C784" s="12"/>
    </row>
    <row r="785">
      <c r="C785" s="12"/>
    </row>
    <row r="786">
      <c r="C786" s="12"/>
    </row>
    <row r="787">
      <c r="C787" s="12"/>
    </row>
    <row r="788">
      <c r="C788" s="12"/>
    </row>
    <row r="789">
      <c r="C789" s="12"/>
    </row>
    <row r="790">
      <c r="C790" s="12"/>
    </row>
    <row r="791">
      <c r="C791" s="12"/>
    </row>
    <row r="792">
      <c r="C792" s="12"/>
    </row>
    <row r="793">
      <c r="C793" s="12"/>
    </row>
    <row r="794">
      <c r="C794" s="12"/>
    </row>
    <row r="795">
      <c r="C795" s="12"/>
    </row>
    <row r="796">
      <c r="C796" s="12"/>
    </row>
    <row r="797">
      <c r="C797" s="12"/>
    </row>
    <row r="798">
      <c r="C798" s="12"/>
    </row>
    <row r="799">
      <c r="C799" s="12"/>
    </row>
    <row r="800">
      <c r="C800" s="12"/>
    </row>
    <row r="801">
      <c r="C801" s="12"/>
    </row>
    <row r="802">
      <c r="C802" s="12"/>
    </row>
    <row r="803">
      <c r="C803" s="12"/>
    </row>
    <row r="804">
      <c r="C804" s="12"/>
    </row>
    <row r="805">
      <c r="C805" s="12"/>
    </row>
    <row r="806">
      <c r="C806" s="12"/>
    </row>
    <row r="807">
      <c r="C807" s="12"/>
    </row>
    <row r="808">
      <c r="C808" s="12"/>
    </row>
    <row r="809">
      <c r="C809" s="12"/>
    </row>
    <row r="810">
      <c r="C810" s="12"/>
    </row>
    <row r="811">
      <c r="C811" s="12"/>
    </row>
    <row r="812">
      <c r="C812" s="12"/>
    </row>
    <row r="813">
      <c r="C813" s="12"/>
    </row>
    <row r="814">
      <c r="C814" s="12"/>
    </row>
    <row r="815">
      <c r="C815" s="12"/>
    </row>
    <row r="816">
      <c r="C816" s="12"/>
    </row>
    <row r="817">
      <c r="C817" s="12"/>
    </row>
    <row r="818">
      <c r="C818" s="12"/>
    </row>
    <row r="819">
      <c r="C819" s="12"/>
    </row>
    <row r="820">
      <c r="C820" s="12"/>
    </row>
    <row r="821">
      <c r="C821" s="12"/>
    </row>
    <row r="822">
      <c r="C822" s="12"/>
    </row>
    <row r="823">
      <c r="C823" s="12"/>
    </row>
    <row r="824">
      <c r="C824" s="12"/>
    </row>
    <row r="825">
      <c r="C825" s="12"/>
    </row>
    <row r="826">
      <c r="C826" s="12"/>
    </row>
    <row r="827">
      <c r="C827" s="12"/>
    </row>
    <row r="828">
      <c r="C828" s="12"/>
    </row>
    <row r="829">
      <c r="C829" s="12"/>
    </row>
    <row r="830">
      <c r="C830" s="12"/>
    </row>
    <row r="831">
      <c r="C831" s="12"/>
    </row>
    <row r="832">
      <c r="C832" s="12"/>
    </row>
    <row r="833">
      <c r="C833" s="12"/>
    </row>
    <row r="834">
      <c r="C834" s="12"/>
    </row>
    <row r="835">
      <c r="C835" s="12"/>
    </row>
    <row r="836">
      <c r="C836" s="12"/>
    </row>
    <row r="837">
      <c r="C837" s="12"/>
    </row>
    <row r="838">
      <c r="C838" s="12"/>
    </row>
    <row r="839">
      <c r="C839" s="12"/>
    </row>
    <row r="840">
      <c r="C840" s="12"/>
    </row>
    <row r="841">
      <c r="C841" s="12"/>
    </row>
    <row r="842">
      <c r="C842" s="12"/>
    </row>
    <row r="843">
      <c r="C843" s="12"/>
    </row>
    <row r="844">
      <c r="C844" s="12"/>
    </row>
    <row r="845">
      <c r="C845" s="12"/>
    </row>
    <row r="846">
      <c r="C846" s="12"/>
    </row>
    <row r="847">
      <c r="C847" s="12"/>
    </row>
    <row r="848">
      <c r="C848" s="12"/>
    </row>
    <row r="849">
      <c r="C849" s="12"/>
    </row>
    <row r="850">
      <c r="C850" s="12"/>
    </row>
    <row r="851">
      <c r="C851" s="12"/>
    </row>
    <row r="852">
      <c r="C852" s="12"/>
    </row>
    <row r="853">
      <c r="C853" s="12"/>
    </row>
    <row r="854">
      <c r="C854" s="12"/>
    </row>
    <row r="855">
      <c r="C855" s="12"/>
    </row>
    <row r="856">
      <c r="C856" s="12"/>
    </row>
    <row r="857">
      <c r="C857" s="12"/>
    </row>
    <row r="858">
      <c r="C858" s="12"/>
    </row>
    <row r="859">
      <c r="C859" s="12"/>
    </row>
    <row r="860">
      <c r="C860" s="12"/>
    </row>
    <row r="861">
      <c r="C861" s="12"/>
    </row>
    <row r="862">
      <c r="C862" s="12"/>
    </row>
    <row r="863">
      <c r="C863" s="12"/>
    </row>
    <row r="864">
      <c r="C864" s="12"/>
    </row>
    <row r="865">
      <c r="C865" s="12"/>
    </row>
    <row r="866">
      <c r="C866" s="12"/>
    </row>
    <row r="867">
      <c r="C867" s="12"/>
    </row>
    <row r="868">
      <c r="C868" s="12"/>
    </row>
    <row r="869">
      <c r="C869" s="12"/>
    </row>
    <row r="870">
      <c r="C870" s="12"/>
    </row>
    <row r="871">
      <c r="C871" s="12"/>
    </row>
    <row r="872">
      <c r="C872" s="12"/>
    </row>
    <row r="873">
      <c r="C873" s="12"/>
    </row>
    <row r="874">
      <c r="C874" s="12"/>
    </row>
    <row r="875">
      <c r="C875" s="12"/>
    </row>
    <row r="876">
      <c r="C876" s="12"/>
    </row>
    <row r="877">
      <c r="C877" s="12"/>
    </row>
    <row r="878">
      <c r="C878" s="12"/>
    </row>
    <row r="879">
      <c r="C879" s="12"/>
    </row>
    <row r="880">
      <c r="C880" s="12"/>
    </row>
    <row r="881">
      <c r="C881" s="12"/>
    </row>
    <row r="882">
      <c r="C882" s="12"/>
    </row>
    <row r="883">
      <c r="C883" s="12"/>
    </row>
    <row r="884">
      <c r="C884" s="12"/>
    </row>
    <row r="885">
      <c r="C885" s="12"/>
    </row>
    <row r="886">
      <c r="C886" s="12"/>
    </row>
    <row r="887">
      <c r="C887" s="12"/>
    </row>
    <row r="888">
      <c r="C888" s="12"/>
    </row>
    <row r="889">
      <c r="C889" s="12"/>
    </row>
    <row r="890">
      <c r="C890" s="12"/>
    </row>
    <row r="891">
      <c r="C891" s="12"/>
    </row>
    <row r="892">
      <c r="C892" s="12"/>
    </row>
    <row r="893">
      <c r="C893" s="12"/>
    </row>
    <row r="894">
      <c r="C894" s="12"/>
    </row>
    <row r="895">
      <c r="C895" s="12"/>
    </row>
    <row r="896">
      <c r="C896" s="12"/>
    </row>
    <row r="897">
      <c r="C897" s="12"/>
    </row>
    <row r="898">
      <c r="C898" s="12"/>
    </row>
    <row r="899">
      <c r="C899" s="12"/>
    </row>
    <row r="900">
      <c r="C900" s="12"/>
    </row>
    <row r="901">
      <c r="C901" s="12"/>
    </row>
    <row r="902">
      <c r="C902" s="12"/>
    </row>
    <row r="903">
      <c r="C903" s="12"/>
    </row>
    <row r="904">
      <c r="C904" s="12"/>
    </row>
    <row r="905">
      <c r="C905" s="12"/>
    </row>
    <row r="906">
      <c r="C906" s="12"/>
    </row>
    <row r="907">
      <c r="C907" s="12"/>
    </row>
    <row r="908">
      <c r="C908" s="12"/>
    </row>
    <row r="909">
      <c r="C909" s="12"/>
    </row>
    <row r="910">
      <c r="C910" s="12"/>
    </row>
    <row r="911">
      <c r="C911" s="12"/>
    </row>
    <row r="912">
      <c r="C912" s="12"/>
    </row>
    <row r="913">
      <c r="C913" s="12"/>
    </row>
    <row r="914">
      <c r="C914" s="12"/>
    </row>
    <row r="915">
      <c r="C915" s="12"/>
    </row>
    <row r="916">
      <c r="C916" s="12"/>
    </row>
    <row r="917">
      <c r="C917" s="12"/>
    </row>
    <row r="918">
      <c r="C918" s="12"/>
    </row>
    <row r="919">
      <c r="C919" s="12"/>
    </row>
    <row r="920">
      <c r="C920" s="12"/>
    </row>
    <row r="921">
      <c r="C921" s="12"/>
    </row>
    <row r="922">
      <c r="C922" s="12"/>
    </row>
    <row r="923">
      <c r="C923" s="12"/>
    </row>
    <row r="924">
      <c r="C924" s="12"/>
    </row>
    <row r="925">
      <c r="C925" s="12"/>
    </row>
    <row r="926">
      <c r="C926" s="12"/>
    </row>
    <row r="927">
      <c r="C927" s="12"/>
    </row>
    <row r="928">
      <c r="C928" s="12"/>
    </row>
    <row r="929">
      <c r="C929" s="12"/>
    </row>
    <row r="930">
      <c r="C930" s="12"/>
    </row>
    <row r="931">
      <c r="C931" s="12"/>
    </row>
    <row r="932">
      <c r="C932" s="12"/>
    </row>
    <row r="933">
      <c r="C933" s="12"/>
    </row>
    <row r="934">
      <c r="C934" s="12"/>
    </row>
    <row r="935">
      <c r="C935" s="12"/>
    </row>
    <row r="936">
      <c r="C936" s="12"/>
    </row>
    <row r="937">
      <c r="C937" s="12"/>
    </row>
    <row r="938">
      <c r="C938" s="12"/>
    </row>
    <row r="939">
      <c r="C939" s="12"/>
    </row>
    <row r="940">
      <c r="C940" s="12"/>
    </row>
    <row r="941">
      <c r="C941" s="12"/>
    </row>
    <row r="942">
      <c r="C942" s="12"/>
    </row>
    <row r="943">
      <c r="C943" s="12"/>
    </row>
    <row r="944">
      <c r="C944" s="12"/>
    </row>
    <row r="945">
      <c r="C945" s="12"/>
    </row>
    <row r="946">
      <c r="C946" s="12"/>
    </row>
    <row r="947">
      <c r="C947" s="12"/>
    </row>
    <row r="948">
      <c r="C948" s="12"/>
    </row>
    <row r="949">
      <c r="C949" s="12"/>
    </row>
    <row r="950">
      <c r="C950" s="12"/>
    </row>
    <row r="951">
      <c r="C951" s="12"/>
    </row>
    <row r="952">
      <c r="C952" s="12"/>
    </row>
    <row r="953">
      <c r="C953" s="12"/>
    </row>
    <row r="954">
      <c r="C954" s="12"/>
    </row>
    <row r="955">
      <c r="C955" s="12"/>
    </row>
    <row r="956">
      <c r="C956" s="12"/>
    </row>
    <row r="957">
      <c r="C957" s="12"/>
    </row>
    <row r="958">
      <c r="C958" s="12"/>
    </row>
    <row r="959">
      <c r="C959" s="12"/>
    </row>
    <row r="960">
      <c r="C960" s="12"/>
    </row>
    <row r="961">
      <c r="C961" s="12"/>
    </row>
    <row r="962">
      <c r="C962" s="12"/>
    </row>
    <row r="963">
      <c r="C963" s="12"/>
    </row>
    <row r="964">
      <c r="C964" s="12"/>
    </row>
    <row r="965">
      <c r="C965" s="12"/>
    </row>
    <row r="966">
      <c r="C966" s="12"/>
    </row>
    <row r="967">
      <c r="C967" s="12"/>
    </row>
    <row r="968">
      <c r="C968" s="12"/>
    </row>
    <row r="969">
      <c r="C969" s="12"/>
    </row>
    <row r="970">
      <c r="C970" s="12"/>
    </row>
    <row r="971">
      <c r="C971" s="12"/>
    </row>
    <row r="972">
      <c r="C972" s="12"/>
    </row>
    <row r="973">
      <c r="C973" s="12"/>
    </row>
    <row r="974">
      <c r="C974" s="12"/>
    </row>
    <row r="975">
      <c r="C975" s="12"/>
    </row>
    <row r="976">
      <c r="C976" s="12"/>
    </row>
    <row r="977">
      <c r="C977" s="12"/>
    </row>
    <row r="978">
      <c r="C978" s="12"/>
    </row>
    <row r="979">
      <c r="C979" s="12"/>
    </row>
    <row r="980">
      <c r="C980" s="12"/>
    </row>
    <row r="981">
      <c r="C981" s="12"/>
    </row>
    <row r="982">
      <c r="C982" s="12"/>
    </row>
    <row r="983">
      <c r="C983" s="12"/>
    </row>
    <row r="984">
      <c r="C984" s="12"/>
    </row>
    <row r="985">
      <c r="C985" s="12"/>
    </row>
    <row r="986">
      <c r="C986" s="12"/>
    </row>
    <row r="987">
      <c r="C987" s="12"/>
    </row>
    <row r="988">
      <c r="C988" s="12"/>
    </row>
    <row r="989">
      <c r="C989" s="12"/>
    </row>
    <row r="990">
      <c r="C990" s="12"/>
    </row>
    <row r="991">
      <c r="C991" s="12"/>
    </row>
    <row r="992">
      <c r="C992" s="12"/>
    </row>
    <row r="993">
      <c r="C993" s="12"/>
    </row>
    <row r="994">
      <c r="C994" s="12"/>
    </row>
    <row r="995">
      <c r="C995" s="12"/>
    </row>
    <row r="996">
      <c r="C996" s="12"/>
    </row>
    <row r="997">
      <c r="C997" s="12"/>
    </row>
    <row r="998">
      <c r="C998" s="12"/>
    </row>
    <row r="999">
      <c r="C999" s="12"/>
    </row>
    <row r="1000">
      <c r="C1000" s="1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2.0</v>
      </c>
      <c r="B1" s="10" t="s">
        <v>13</v>
      </c>
      <c r="C1" s="10" t="s">
        <v>105</v>
      </c>
    </row>
    <row r="2">
      <c r="A2" s="10">
        <v>6.0</v>
      </c>
      <c r="B2" s="10" t="s">
        <v>13</v>
      </c>
      <c r="C2" s="10" t="s">
        <v>106</v>
      </c>
    </row>
    <row r="3">
      <c r="A3" s="10">
        <v>10.0</v>
      </c>
      <c r="B3" s="10" t="s">
        <v>13</v>
      </c>
      <c r="C3" s="10" t="s">
        <v>107</v>
      </c>
    </row>
    <row r="4">
      <c r="A4" s="10">
        <v>11.0</v>
      </c>
      <c r="B4" s="10" t="s">
        <v>13</v>
      </c>
      <c r="C4" s="10" t="s">
        <v>108</v>
      </c>
    </row>
    <row r="5">
      <c r="A5" s="10">
        <v>12.0</v>
      </c>
      <c r="B5" s="10" t="s">
        <v>13</v>
      </c>
      <c r="C5" s="10" t="s">
        <v>109</v>
      </c>
    </row>
    <row r="6">
      <c r="A6" s="10">
        <v>21.0</v>
      </c>
      <c r="B6" s="10" t="s">
        <v>13</v>
      </c>
      <c r="C6" s="10" t="s">
        <v>110</v>
      </c>
    </row>
    <row r="7">
      <c r="A7" s="10">
        <v>24.0</v>
      </c>
      <c r="B7" s="10" t="s">
        <v>13</v>
      </c>
      <c r="C7" s="10" t="s">
        <v>111</v>
      </c>
    </row>
    <row r="8">
      <c r="A8" s="10">
        <v>27.0</v>
      </c>
      <c r="B8" s="10" t="s">
        <v>13</v>
      </c>
      <c r="C8" s="10" t="s">
        <v>112</v>
      </c>
    </row>
    <row r="9">
      <c r="A9" s="10">
        <v>28.0</v>
      </c>
      <c r="B9" s="10" t="s">
        <v>13</v>
      </c>
      <c r="C9" s="10" t="s">
        <v>113</v>
      </c>
    </row>
    <row r="10">
      <c r="A10" s="10">
        <v>31.0</v>
      </c>
      <c r="B10" s="10" t="s">
        <v>13</v>
      </c>
      <c r="C10" s="10" t="s">
        <v>27</v>
      </c>
    </row>
    <row r="11">
      <c r="A11" s="10">
        <v>32.0</v>
      </c>
      <c r="B11" s="10" t="s">
        <v>13</v>
      </c>
      <c r="C11" s="10" t="s">
        <v>114</v>
      </c>
    </row>
    <row r="12">
      <c r="A12" s="10">
        <v>35.0</v>
      </c>
      <c r="B12" s="10" t="s">
        <v>13</v>
      </c>
      <c r="C12" s="10" t="s">
        <v>115</v>
      </c>
    </row>
    <row r="13">
      <c r="A13" s="10">
        <v>40.0</v>
      </c>
      <c r="B13" s="10" t="s">
        <v>13</v>
      </c>
      <c r="C13" s="10" t="s">
        <v>27</v>
      </c>
    </row>
    <row r="14">
      <c r="A14" s="10">
        <v>44.0</v>
      </c>
      <c r="B14" s="10" t="s">
        <v>13</v>
      </c>
      <c r="C14" s="10" t="s">
        <v>116</v>
      </c>
    </row>
    <row r="15">
      <c r="A15" s="10">
        <v>49.0</v>
      </c>
      <c r="B15" s="10" t="s">
        <v>13</v>
      </c>
      <c r="C15" s="10" t="s">
        <v>117</v>
      </c>
    </row>
    <row r="16">
      <c r="A16" s="10">
        <v>52.0</v>
      </c>
      <c r="B16" s="10" t="s">
        <v>13</v>
      </c>
      <c r="C16" s="10" t="s">
        <v>118</v>
      </c>
    </row>
    <row r="17">
      <c r="A17" s="10">
        <v>61.0</v>
      </c>
      <c r="B17" s="10" t="s">
        <v>13</v>
      </c>
      <c r="C17" s="10" t="s">
        <v>119</v>
      </c>
    </row>
    <row r="18">
      <c r="A18" s="10">
        <v>64.0</v>
      </c>
      <c r="B18" s="10" t="s">
        <v>13</v>
      </c>
      <c r="C18" s="10" t="s">
        <v>120</v>
      </c>
    </row>
    <row r="19">
      <c r="A19" s="10">
        <v>72.0</v>
      </c>
      <c r="B19" s="10" t="s">
        <v>13</v>
      </c>
      <c r="C19" s="10" t="s">
        <v>121</v>
      </c>
    </row>
    <row r="20">
      <c r="A20" s="10">
        <v>78.0</v>
      </c>
      <c r="B20" s="10" t="s">
        <v>13</v>
      </c>
      <c r="C20" s="10" t="s">
        <v>122</v>
      </c>
    </row>
    <row r="21">
      <c r="A21" s="10">
        <v>83.0</v>
      </c>
      <c r="B21" s="10" t="s">
        <v>13</v>
      </c>
      <c r="C21" s="10" t="s">
        <v>123</v>
      </c>
    </row>
    <row r="22">
      <c r="A22" s="10">
        <v>84.0</v>
      </c>
      <c r="B22" s="10" t="s">
        <v>13</v>
      </c>
      <c r="C22" s="10" t="s">
        <v>124</v>
      </c>
    </row>
    <row r="23">
      <c r="A23" s="10">
        <v>85.0</v>
      </c>
      <c r="B23" s="10" t="s">
        <v>13</v>
      </c>
      <c r="C23" s="10" t="s">
        <v>109</v>
      </c>
    </row>
    <row r="24">
      <c r="A24" s="10">
        <v>86.0</v>
      </c>
      <c r="B24" s="10" t="s">
        <v>13</v>
      </c>
      <c r="C24" s="10" t="s">
        <v>125</v>
      </c>
    </row>
    <row r="25">
      <c r="A25" s="10">
        <v>89.0</v>
      </c>
      <c r="B25" s="10" t="s">
        <v>13</v>
      </c>
      <c r="C25" s="10" t="s">
        <v>126</v>
      </c>
    </row>
    <row r="26">
      <c r="A26" s="10">
        <v>90.0</v>
      </c>
      <c r="B26" s="10" t="s">
        <v>13</v>
      </c>
      <c r="C26" s="10" t="s">
        <v>27</v>
      </c>
    </row>
    <row r="27">
      <c r="A27" s="10">
        <v>92.0</v>
      </c>
      <c r="B27" s="10" t="s">
        <v>13</v>
      </c>
      <c r="C27" s="10" t="s">
        <v>127</v>
      </c>
    </row>
    <row r="28">
      <c r="A28" s="10">
        <v>95.0</v>
      </c>
      <c r="B28" s="10" t="s">
        <v>13</v>
      </c>
      <c r="C28" s="10" t="s">
        <v>128</v>
      </c>
    </row>
    <row r="29">
      <c r="A29" s="10">
        <v>99.0</v>
      </c>
      <c r="B29" s="10" t="s">
        <v>13</v>
      </c>
      <c r="C29" s="10" t="s">
        <v>27</v>
      </c>
    </row>
    <row r="30">
      <c r="A30" s="10">
        <v>105.0</v>
      </c>
      <c r="B30" s="10" t="s">
        <v>13</v>
      </c>
      <c r="C30" s="10" t="s">
        <v>129</v>
      </c>
    </row>
    <row r="31">
      <c r="A31" s="10">
        <v>108.0</v>
      </c>
      <c r="B31" s="10" t="s">
        <v>13</v>
      </c>
      <c r="C31" s="10" t="s">
        <v>130</v>
      </c>
    </row>
    <row r="32">
      <c r="A32" s="10">
        <v>110.0</v>
      </c>
      <c r="B32" s="10" t="s">
        <v>13</v>
      </c>
      <c r="C32" s="10" t="s">
        <v>131</v>
      </c>
    </row>
    <row r="33">
      <c r="A33" s="10">
        <v>112.0</v>
      </c>
      <c r="B33" s="10" t="s">
        <v>13</v>
      </c>
      <c r="C33" s="10" t="s">
        <v>132</v>
      </c>
    </row>
    <row r="34">
      <c r="A34" s="10">
        <v>115.0</v>
      </c>
      <c r="B34" s="10" t="s">
        <v>13</v>
      </c>
      <c r="C34" s="10" t="s">
        <v>133</v>
      </c>
    </row>
    <row r="35">
      <c r="A35" s="10">
        <v>116.0</v>
      </c>
      <c r="B35" s="10" t="s">
        <v>13</v>
      </c>
      <c r="C35" s="10" t="s">
        <v>134</v>
      </c>
    </row>
    <row r="36">
      <c r="A36" s="10">
        <v>121.0</v>
      </c>
      <c r="B36" s="10" t="s">
        <v>13</v>
      </c>
      <c r="C36" s="10" t="s">
        <v>135</v>
      </c>
    </row>
    <row r="37">
      <c r="A37" s="10">
        <v>123.0</v>
      </c>
      <c r="B37" s="10" t="s">
        <v>13</v>
      </c>
      <c r="C37" s="10" t="s">
        <v>136</v>
      </c>
    </row>
    <row r="38">
      <c r="A38" s="10">
        <v>126.0</v>
      </c>
      <c r="B38" s="10" t="s">
        <v>13</v>
      </c>
      <c r="C38" s="10" t="s">
        <v>27</v>
      </c>
    </row>
    <row r="39">
      <c r="A39" s="10">
        <v>127.0</v>
      </c>
      <c r="B39" s="10" t="s">
        <v>13</v>
      </c>
      <c r="C39" s="10" t="s">
        <v>137</v>
      </c>
    </row>
    <row r="40">
      <c r="A40" s="10">
        <v>131.0</v>
      </c>
      <c r="B40" s="10" t="s">
        <v>13</v>
      </c>
      <c r="C40" s="10" t="s">
        <v>138</v>
      </c>
    </row>
    <row r="41">
      <c r="A41" s="10">
        <v>134.0</v>
      </c>
      <c r="B41" s="10" t="s">
        <v>13</v>
      </c>
      <c r="C41" s="10" t="s">
        <v>139</v>
      </c>
    </row>
    <row r="42">
      <c r="A42" s="10">
        <v>137.0</v>
      </c>
      <c r="B42" s="10" t="s">
        <v>13</v>
      </c>
      <c r="C42" s="10" t="s">
        <v>140</v>
      </c>
    </row>
    <row r="43">
      <c r="A43" s="10">
        <v>139.0</v>
      </c>
      <c r="B43" s="10" t="s">
        <v>13</v>
      </c>
      <c r="C43" s="10" t="s">
        <v>27</v>
      </c>
    </row>
    <row r="44">
      <c r="A44" s="10">
        <v>141.0</v>
      </c>
      <c r="B44" s="10" t="s">
        <v>13</v>
      </c>
      <c r="C44" s="10" t="s">
        <v>141</v>
      </c>
    </row>
    <row r="45">
      <c r="A45" s="10">
        <v>142.0</v>
      </c>
      <c r="B45" s="10" t="s">
        <v>13</v>
      </c>
      <c r="C45" s="10" t="s">
        <v>142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1.25"/>
  </cols>
  <sheetData>
    <row r="1">
      <c r="A1" s="10">
        <v>1.0</v>
      </c>
      <c r="B1" s="10" t="s">
        <v>13</v>
      </c>
      <c r="C1" s="11" t="s">
        <v>143</v>
      </c>
    </row>
    <row r="2">
      <c r="A2" s="10">
        <v>2.0</v>
      </c>
      <c r="B2" s="10" t="s">
        <v>13</v>
      </c>
      <c r="C2" s="11" t="s">
        <v>143</v>
      </c>
      <c r="E2" s="13" t="s">
        <v>144</v>
      </c>
      <c r="F2" s="13" t="s">
        <v>145</v>
      </c>
      <c r="H2" s="13" t="s">
        <v>146</v>
      </c>
    </row>
    <row r="3">
      <c r="A3" s="10">
        <v>3.0</v>
      </c>
      <c r="B3" s="10" t="s">
        <v>13</v>
      </c>
      <c r="C3" s="11" t="s">
        <v>147</v>
      </c>
      <c r="H3" s="10" t="s">
        <v>148</v>
      </c>
      <c r="I3" s="14">
        <f>COUNTIF(C1:C88,"*facebook*")</f>
        <v>16</v>
      </c>
    </row>
    <row r="4">
      <c r="A4" s="10">
        <v>4.0</v>
      </c>
      <c r="B4" s="10" t="s">
        <v>13</v>
      </c>
      <c r="C4" s="11" t="s">
        <v>149</v>
      </c>
      <c r="E4" s="10" t="s">
        <v>147</v>
      </c>
      <c r="F4" s="14">
        <f>COUNTIF(C1:C88,"*nationbuilder*")</f>
        <v>1</v>
      </c>
      <c r="H4" s="10" t="s">
        <v>150</v>
      </c>
      <c r="I4" s="14">
        <f>COUNTIF(C1:C88,"*google*")</f>
        <v>3</v>
      </c>
    </row>
    <row r="5">
      <c r="A5" s="10">
        <v>5.0</v>
      </c>
      <c r="B5" s="10" t="s">
        <v>13</v>
      </c>
      <c r="C5" s="11" t="s">
        <v>151</v>
      </c>
      <c r="H5" s="10" t="s">
        <v>152</v>
      </c>
      <c r="I5" s="14">
        <f>COUNTIF(C1:C88,"*linkedin*")</f>
        <v>4</v>
      </c>
    </row>
    <row r="6">
      <c r="A6" s="10">
        <v>6.0</v>
      </c>
      <c r="B6" s="10" t="s">
        <v>13</v>
      </c>
      <c r="C6" s="11" t="s">
        <v>153</v>
      </c>
      <c r="H6" s="10" t="s">
        <v>154</v>
      </c>
      <c r="I6" s="14">
        <f>COUNTIF(C1:C88,"*nextdoor*")</f>
        <v>3</v>
      </c>
    </row>
    <row r="7">
      <c r="A7" s="10">
        <v>7.0</v>
      </c>
      <c r="B7" s="10" t="s">
        <v>13</v>
      </c>
      <c r="C7" s="11" t="s">
        <v>155</v>
      </c>
    </row>
    <row r="8">
      <c r="A8" s="10">
        <v>8.0</v>
      </c>
      <c r="B8" s="10" t="s">
        <v>13</v>
      </c>
      <c r="C8" s="11" t="s">
        <v>156</v>
      </c>
      <c r="H8" s="13" t="s">
        <v>157</v>
      </c>
    </row>
    <row r="9">
      <c r="A9" s="10">
        <v>9.0</v>
      </c>
      <c r="B9" s="10" t="s">
        <v>13</v>
      </c>
      <c r="C9" s="11" t="s">
        <v>158</v>
      </c>
      <c r="H9" s="10" t="s">
        <v>159</v>
      </c>
      <c r="I9" s="14">
        <f>COUNTIF(C1:C88,"*reddit*")</f>
        <v>9</v>
      </c>
    </row>
    <row r="10">
      <c r="A10" s="10">
        <v>10.0</v>
      </c>
      <c r="B10" s="10" t="s">
        <v>13</v>
      </c>
      <c r="C10" s="11" t="s">
        <v>160</v>
      </c>
      <c r="H10" s="10" t="s">
        <v>161</v>
      </c>
      <c r="I10" s="14">
        <f>COUNTIF(C1:C88,"*quora*")</f>
        <v>3</v>
      </c>
    </row>
    <row r="11">
      <c r="A11" s="10">
        <v>11.0</v>
      </c>
      <c r="B11" s="10" t="s">
        <v>13</v>
      </c>
      <c r="C11" s="11" t="s">
        <v>162</v>
      </c>
    </row>
    <row r="12">
      <c r="A12" s="10">
        <v>12.0</v>
      </c>
      <c r="B12" s="10" t="s">
        <v>13</v>
      </c>
      <c r="C12" s="11" t="s">
        <v>148</v>
      </c>
    </row>
    <row r="13">
      <c r="A13" s="10">
        <v>13.0</v>
      </c>
      <c r="B13" s="10" t="s">
        <v>13</v>
      </c>
      <c r="C13" s="11" t="s">
        <v>163</v>
      </c>
      <c r="H13" s="13" t="s">
        <v>164</v>
      </c>
    </row>
    <row r="14">
      <c r="A14" s="10">
        <v>14.0</v>
      </c>
      <c r="B14" s="10" t="s">
        <v>13</v>
      </c>
      <c r="C14" s="11" t="s">
        <v>165</v>
      </c>
      <c r="H14" s="10" t="s">
        <v>160</v>
      </c>
      <c r="I14" s="14">
        <f>COUNTIF(C1:C88,"*slack*")</f>
        <v>7</v>
      </c>
    </row>
    <row r="15">
      <c r="A15" s="10">
        <v>15.0</v>
      </c>
      <c r="B15" s="10" t="s">
        <v>13</v>
      </c>
      <c r="C15" s="11" t="s">
        <v>166</v>
      </c>
      <c r="E15" s="10" t="s">
        <v>167</v>
      </c>
      <c r="F15" s="14">
        <f>COUNTIF(C1:C88,"*wikipedia*")</f>
        <v>1</v>
      </c>
      <c r="H15" s="10" t="s">
        <v>163</v>
      </c>
      <c r="I15" s="14">
        <f>COUNTIF(C1:C88,"*discord*")</f>
        <v>10</v>
      </c>
    </row>
    <row r="16">
      <c r="A16" s="10">
        <v>16.0</v>
      </c>
      <c r="B16" s="10" t="s">
        <v>13</v>
      </c>
      <c r="C16" s="11" t="s">
        <v>168</v>
      </c>
    </row>
    <row r="17">
      <c r="A17" s="10">
        <v>17.0</v>
      </c>
      <c r="B17" s="10" t="s">
        <v>13</v>
      </c>
      <c r="C17" s="11" t="s">
        <v>169</v>
      </c>
    </row>
    <row r="18">
      <c r="A18" s="10">
        <v>18.0</v>
      </c>
      <c r="B18" s="10" t="s">
        <v>13</v>
      </c>
      <c r="C18" s="11" t="s">
        <v>170</v>
      </c>
    </row>
    <row r="19">
      <c r="A19" s="10">
        <v>19.0</v>
      </c>
      <c r="B19" s="10" t="s">
        <v>13</v>
      </c>
      <c r="C19" s="11" t="s">
        <v>152</v>
      </c>
      <c r="H19" s="13" t="s">
        <v>171</v>
      </c>
    </row>
    <row r="20">
      <c r="A20" s="10">
        <v>20.0</v>
      </c>
      <c r="B20" s="10" t="s">
        <v>13</v>
      </c>
      <c r="C20" s="11" t="s">
        <v>172</v>
      </c>
      <c r="E20" s="10" t="s">
        <v>173</v>
      </c>
      <c r="H20" s="10" t="s">
        <v>174</v>
      </c>
      <c r="I20" s="14">
        <f>COUNTIF(C1:C88,"*signal*")</f>
        <v>3</v>
      </c>
    </row>
    <row r="21">
      <c r="A21" s="10">
        <v>21.0</v>
      </c>
      <c r="B21" s="10" t="s">
        <v>13</v>
      </c>
      <c r="C21" s="11" t="s">
        <v>175</v>
      </c>
      <c r="H21" s="10" t="s">
        <v>176</v>
      </c>
      <c r="I21" s="14">
        <f>COUNTIF(C1:C88,"*telegram*")</f>
        <v>4</v>
      </c>
    </row>
    <row r="22">
      <c r="A22" s="10">
        <v>22.0</v>
      </c>
      <c r="B22" s="10" t="s">
        <v>13</v>
      </c>
      <c r="C22" s="11" t="s">
        <v>163</v>
      </c>
      <c r="H22" s="10" t="s">
        <v>170</v>
      </c>
      <c r="I22" s="14">
        <f>COUNTIF(C1:C88,"*whatsapp*")</f>
        <v>9</v>
      </c>
    </row>
    <row r="23">
      <c r="A23" s="10">
        <v>23.0</v>
      </c>
      <c r="B23" s="10" t="s">
        <v>13</v>
      </c>
      <c r="C23" s="11" t="s">
        <v>177</v>
      </c>
    </row>
    <row r="24">
      <c r="A24" s="10">
        <v>24.0</v>
      </c>
      <c r="B24" s="10" t="s">
        <v>13</v>
      </c>
      <c r="C24" s="11" t="s">
        <v>178</v>
      </c>
      <c r="H24" s="13" t="s">
        <v>179</v>
      </c>
    </row>
    <row r="25">
      <c r="A25" s="10">
        <v>25.0</v>
      </c>
      <c r="B25" s="10" t="s">
        <v>13</v>
      </c>
      <c r="C25" s="11" t="s">
        <v>180</v>
      </c>
      <c r="H25" s="10" t="s">
        <v>181</v>
      </c>
      <c r="I25" s="14">
        <f>COUNTIF(C1:C88,"*zoom*")</f>
        <v>9</v>
      </c>
    </row>
    <row r="26">
      <c r="A26" s="10">
        <v>26.0</v>
      </c>
      <c r="B26" s="10" t="s">
        <v>13</v>
      </c>
      <c r="C26" s="11" t="s">
        <v>182</v>
      </c>
      <c r="H26" s="10" t="s">
        <v>183</v>
      </c>
      <c r="I26" s="14">
        <f>COUNTIF(C1:C88,"*teams*")</f>
        <v>8</v>
      </c>
    </row>
    <row r="27">
      <c r="A27" s="10">
        <v>27.0</v>
      </c>
      <c r="B27" s="10" t="s">
        <v>13</v>
      </c>
      <c r="C27" s="11" t="s">
        <v>184</v>
      </c>
    </row>
    <row r="28">
      <c r="A28" s="10">
        <v>28.0</v>
      </c>
      <c r="B28" s="10" t="s">
        <v>13</v>
      </c>
      <c r="C28" s="11" t="s">
        <v>185</v>
      </c>
    </row>
    <row r="29">
      <c r="A29" s="10">
        <v>29.0</v>
      </c>
      <c r="B29" s="10" t="s">
        <v>13</v>
      </c>
      <c r="C29" s="11" t="s">
        <v>186</v>
      </c>
    </row>
    <row r="30">
      <c r="A30" s="10">
        <v>30.0</v>
      </c>
      <c r="B30" s="10" t="s">
        <v>13</v>
      </c>
      <c r="C30" s="11" t="s">
        <v>187</v>
      </c>
    </row>
    <row r="31">
      <c r="A31" s="10">
        <v>31.0</v>
      </c>
      <c r="B31" s="10" t="s">
        <v>13</v>
      </c>
      <c r="C31" s="11" t="s">
        <v>188</v>
      </c>
    </row>
    <row r="32">
      <c r="A32" s="10">
        <v>32.0</v>
      </c>
      <c r="B32" s="10" t="s">
        <v>13</v>
      </c>
      <c r="C32" s="11" t="s">
        <v>189</v>
      </c>
    </row>
    <row r="33">
      <c r="A33" s="10">
        <v>33.0</v>
      </c>
      <c r="B33" s="10" t="s">
        <v>13</v>
      </c>
      <c r="C33" s="11" t="s">
        <v>190</v>
      </c>
    </row>
    <row r="34">
      <c r="A34" s="10">
        <v>34.0</v>
      </c>
      <c r="B34" s="10" t="s">
        <v>13</v>
      </c>
      <c r="C34" s="11" t="s">
        <v>191</v>
      </c>
    </row>
    <row r="35">
      <c r="A35" s="10">
        <v>35.0</v>
      </c>
      <c r="B35" s="10" t="s">
        <v>13</v>
      </c>
      <c r="C35" s="11" t="s">
        <v>192</v>
      </c>
    </row>
    <row r="36">
      <c r="A36" s="10">
        <v>36.0</v>
      </c>
      <c r="B36" s="10" t="s">
        <v>13</v>
      </c>
      <c r="C36" s="11" t="s">
        <v>193</v>
      </c>
    </row>
    <row r="37">
      <c r="A37" s="10">
        <v>37.0</v>
      </c>
      <c r="B37" s="10" t="s">
        <v>13</v>
      </c>
      <c r="C37" s="11" t="s">
        <v>194</v>
      </c>
    </row>
    <row r="38">
      <c r="A38" s="10">
        <v>38.0</v>
      </c>
      <c r="B38" s="10" t="s">
        <v>13</v>
      </c>
      <c r="C38" s="11" t="s">
        <v>195</v>
      </c>
    </row>
    <row r="39">
      <c r="A39" s="10">
        <v>39.0</v>
      </c>
      <c r="B39" s="10" t="s">
        <v>13</v>
      </c>
      <c r="C39" s="11" t="s">
        <v>196</v>
      </c>
    </row>
    <row r="40">
      <c r="A40" s="10">
        <v>40.0</v>
      </c>
      <c r="B40" s="10" t="s">
        <v>13</v>
      </c>
      <c r="C40" s="11" t="s">
        <v>197</v>
      </c>
    </row>
    <row r="41">
      <c r="A41" s="10">
        <v>41.0</v>
      </c>
      <c r="B41" s="10" t="s">
        <v>13</v>
      </c>
      <c r="C41" s="11" t="s">
        <v>198</v>
      </c>
    </row>
    <row r="42">
      <c r="A42" s="10">
        <v>42.0</v>
      </c>
      <c r="B42" s="10" t="s">
        <v>13</v>
      </c>
      <c r="C42" s="11" t="s">
        <v>199</v>
      </c>
    </row>
    <row r="43">
      <c r="A43" s="10">
        <v>43.0</v>
      </c>
      <c r="B43" s="10" t="s">
        <v>13</v>
      </c>
      <c r="C43" s="11" t="s">
        <v>181</v>
      </c>
    </row>
    <row r="44">
      <c r="A44" s="10">
        <v>44.0</v>
      </c>
      <c r="B44" s="10" t="s">
        <v>13</v>
      </c>
      <c r="C44" s="11" t="s">
        <v>200</v>
      </c>
    </row>
    <row r="45">
      <c r="A45" s="10">
        <v>45.0</v>
      </c>
      <c r="B45" s="10" t="s">
        <v>13</v>
      </c>
      <c r="C45" s="11" t="s">
        <v>201</v>
      </c>
    </row>
    <row r="46">
      <c r="A46" s="10">
        <v>46.0</v>
      </c>
      <c r="B46" s="10" t="s">
        <v>13</v>
      </c>
      <c r="C46" s="11" t="s">
        <v>202</v>
      </c>
    </row>
    <row r="47">
      <c r="A47" s="10">
        <v>47.0</v>
      </c>
      <c r="B47" s="10" t="s">
        <v>13</v>
      </c>
      <c r="C47" s="11" t="s">
        <v>203</v>
      </c>
    </row>
    <row r="48">
      <c r="A48" s="10">
        <v>48.0</v>
      </c>
      <c r="B48" s="10" t="s">
        <v>13</v>
      </c>
      <c r="C48" s="11" t="s">
        <v>204</v>
      </c>
    </row>
    <row r="49">
      <c r="A49" s="10">
        <v>49.0</v>
      </c>
      <c r="B49" s="10" t="s">
        <v>13</v>
      </c>
      <c r="C49" s="11" t="s">
        <v>160</v>
      </c>
    </row>
    <row r="50">
      <c r="A50" s="10">
        <v>50.0</v>
      </c>
      <c r="B50" s="10" t="s">
        <v>13</v>
      </c>
      <c r="C50" s="11" t="s">
        <v>205</v>
      </c>
    </row>
    <row r="51">
      <c r="A51" s="10">
        <v>51.0</v>
      </c>
      <c r="B51" s="10" t="s">
        <v>13</v>
      </c>
      <c r="C51" s="11" t="s">
        <v>206</v>
      </c>
    </row>
    <row r="52">
      <c r="A52" s="10">
        <v>52.0</v>
      </c>
      <c r="B52" s="10" t="s">
        <v>13</v>
      </c>
      <c r="C52" s="11" t="s">
        <v>207</v>
      </c>
    </row>
    <row r="53">
      <c r="A53" s="10">
        <v>53.0</v>
      </c>
      <c r="B53" s="10" t="s">
        <v>13</v>
      </c>
      <c r="C53" s="11" t="s">
        <v>208</v>
      </c>
    </row>
    <row r="54">
      <c r="A54" s="10">
        <v>54.0</v>
      </c>
      <c r="B54" s="10" t="s">
        <v>13</v>
      </c>
      <c r="C54" s="11" t="s">
        <v>148</v>
      </c>
    </row>
    <row r="55">
      <c r="A55" s="10">
        <v>55.0</v>
      </c>
      <c r="B55" s="10" t="s">
        <v>13</v>
      </c>
      <c r="C55" s="11" t="s">
        <v>209</v>
      </c>
    </row>
    <row r="56">
      <c r="A56" s="10">
        <v>56.0</v>
      </c>
      <c r="B56" s="10" t="s">
        <v>13</v>
      </c>
      <c r="C56" s="11" t="s">
        <v>210</v>
      </c>
    </row>
    <row r="57">
      <c r="A57" s="10">
        <v>57.0</v>
      </c>
      <c r="B57" s="10" t="s">
        <v>13</v>
      </c>
      <c r="C57" s="11" t="s">
        <v>211</v>
      </c>
    </row>
    <row r="58">
      <c r="A58" s="10">
        <v>58.0</v>
      </c>
      <c r="B58" s="10" t="s">
        <v>13</v>
      </c>
      <c r="C58" s="11" t="s">
        <v>212</v>
      </c>
    </row>
    <row r="59">
      <c r="A59" s="10">
        <v>59.0</v>
      </c>
      <c r="B59" s="10" t="s">
        <v>13</v>
      </c>
      <c r="C59" s="11" t="s">
        <v>213</v>
      </c>
    </row>
    <row r="60">
      <c r="A60" s="10">
        <v>60.0</v>
      </c>
      <c r="B60" s="10" t="s">
        <v>13</v>
      </c>
      <c r="C60" s="11" t="s">
        <v>214</v>
      </c>
    </row>
    <row r="61">
      <c r="A61" s="10">
        <v>61.0</v>
      </c>
      <c r="B61" s="10" t="s">
        <v>13</v>
      </c>
      <c r="C61" s="11" t="s">
        <v>215</v>
      </c>
    </row>
    <row r="62">
      <c r="A62" s="10">
        <v>62.0</v>
      </c>
      <c r="B62" s="10" t="s">
        <v>13</v>
      </c>
      <c r="C62" s="11" t="s">
        <v>216</v>
      </c>
    </row>
    <row r="63">
      <c r="A63" s="10">
        <v>63.0</v>
      </c>
      <c r="B63" s="10" t="s">
        <v>13</v>
      </c>
      <c r="C63" s="11" t="s">
        <v>217</v>
      </c>
    </row>
    <row r="64">
      <c r="A64" s="10">
        <v>64.0</v>
      </c>
      <c r="B64" s="10" t="s">
        <v>13</v>
      </c>
      <c r="C64" s="11" t="s">
        <v>218</v>
      </c>
    </row>
    <row r="65">
      <c r="A65" s="10">
        <v>65.0</v>
      </c>
      <c r="B65" s="10" t="s">
        <v>13</v>
      </c>
      <c r="C65" s="11" t="s">
        <v>219</v>
      </c>
    </row>
    <row r="66">
      <c r="A66" s="10">
        <v>66.0</v>
      </c>
      <c r="B66" s="10" t="s">
        <v>13</v>
      </c>
      <c r="C66" s="11" t="s">
        <v>220</v>
      </c>
    </row>
    <row r="67">
      <c r="A67" s="10">
        <v>67.0</v>
      </c>
      <c r="B67" s="10" t="s">
        <v>13</v>
      </c>
      <c r="C67" s="11" t="s">
        <v>221</v>
      </c>
    </row>
    <row r="68">
      <c r="A68" s="10">
        <v>68.0</v>
      </c>
      <c r="B68" s="10" t="s">
        <v>13</v>
      </c>
      <c r="C68" s="11" t="s">
        <v>222</v>
      </c>
    </row>
    <row r="69">
      <c r="A69" s="10">
        <v>69.0</v>
      </c>
      <c r="B69" s="10" t="s">
        <v>13</v>
      </c>
      <c r="C69" s="11" t="s">
        <v>223</v>
      </c>
    </row>
    <row r="70">
      <c r="A70" s="10">
        <v>70.0</v>
      </c>
      <c r="B70" s="10" t="s">
        <v>13</v>
      </c>
      <c r="C70" s="11" t="s">
        <v>224</v>
      </c>
    </row>
    <row r="71">
      <c r="A71" s="10">
        <v>71.0</v>
      </c>
      <c r="B71" s="10" t="s">
        <v>13</v>
      </c>
      <c r="C71" s="11" t="s">
        <v>163</v>
      </c>
    </row>
    <row r="72">
      <c r="A72" s="10">
        <v>72.0</v>
      </c>
      <c r="B72" s="10" t="s">
        <v>13</v>
      </c>
      <c r="C72" s="11" t="s">
        <v>225</v>
      </c>
    </row>
    <row r="73">
      <c r="A73" s="10">
        <v>73.0</v>
      </c>
      <c r="B73" s="10" t="s">
        <v>13</v>
      </c>
      <c r="C73" s="11" t="s">
        <v>226</v>
      </c>
    </row>
    <row r="74">
      <c r="A74" s="10">
        <v>74.0</v>
      </c>
      <c r="B74" s="10" t="s">
        <v>13</v>
      </c>
      <c r="C74" s="11" t="s">
        <v>161</v>
      </c>
    </row>
    <row r="75">
      <c r="A75" s="10">
        <v>75.0</v>
      </c>
      <c r="B75" s="10" t="s">
        <v>13</v>
      </c>
      <c r="C75" s="11" t="s">
        <v>227</v>
      </c>
    </row>
    <row r="76">
      <c r="A76" s="10">
        <v>76.0</v>
      </c>
      <c r="B76" s="10" t="s">
        <v>13</v>
      </c>
      <c r="C76" s="11" t="s">
        <v>228</v>
      </c>
    </row>
    <row r="77">
      <c r="A77" s="10">
        <v>77.0</v>
      </c>
      <c r="B77" s="10" t="s">
        <v>13</v>
      </c>
      <c r="C77" s="11" t="s">
        <v>229</v>
      </c>
    </row>
    <row r="78">
      <c r="A78" s="10">
        <v>78.0</v>
      </c>
      <c r="B78" s="10" t="s">
        <v>13</v>
      </c>
      <c r="C78" s="11" t="s">
        <v>230</v>
      </c>
    </row>
    <row r="79">
      <c r="A79" s="10">
        <v>79.0</v>
      </c>
      <c r="B79" s="10" t="s">
        <v>13</v>
      </c>
      <c r="C79" s="11" t="s">
        <v>231</v>
      </c>
    </row>
    <row r="80">
      <c r="A80" s="10">
        <v>80.0</v>
      </c>
      <c r="B80" s="10" t="s">
        <v>13</v>
      </c>
      <c r="C80" s="11" t="s">
        <v>232</v>
      </c>
    </row>
    <row r="81">
      <c r="A81" s="10">
        <v>81.0</v>
      </c>
      <c r="B81" s="10" t="s">
        <v>13</v>
      </c>
      <c r="C81" s="11" t="s">
        <v>233</v>
      </c>
    </row>
    <row r="82">
      <c r="A82" s="10">
        <v>82.0</v>
      </c>
      <c r="B82" s="10" t="s">
        <v>13</v>
      </c>
      <c r="C82" s="11" t="s">
        <v>234</v>
      </c>
    </row>
    <row r="83">
      <c r="A83" s="10">
        <v>83.0</v>
      </c>
      <c r="B83" s="10" t="s">
        <v>13</v>
      </c>
      <c r="C83" s="11" t="s">
        <v>235</v>
      </c>
    </row>
    <row r="84">
      <c r="A84" s="10">
        <v>84.0</v>
      </c>
      <c r="B84" s="10" t="s">
        <v>13</v>
      </c>
      <c r="C84" s="11" t="s">
        <v>236</v>
      </c>
    </row>
    <row r="85">
      <c r="A85" s="10">
        <v>85.0</v>
      </c>
      <c r="B85" s="10" t="s">
        <v>13</v>
      </c>
      <c r="C85" s="11" t="s">
        <v>237</v>
      </c>
    </row>
    <row r="86">
      <c r="A86" s="10">
        <v>86.0</v>
      </c>
      <c r="B86" s="10" t="s">
        <v>13</v>
      </c>
      <c r="C86" s="11" t="s">
        <v>238</v>
      </c>
    </row>
    <row r="87">
      <c r="A87" s="10">
        <v>87.0</v>
      </c>
      <c r="B87" s="10" t="s">
        <v>13</v>
      </c>
      <c r="C87" s="11" t="s">
        <v>239</v>
      </c>
    </row>
    <row r="88">
      <c r="A88" s="10">
        <v>88.0</v>
      </c>
      <c r="B88" s="10" t="s">
        <v>13</v>
      </c>
      <c r="C88" s="11" t="s">
        <v>240</v>
      </c>
    </row>
    <row r="89">
      <c r="C89" s="12"/>
    </row>
    <row r="90">
      <c r="C90" s="12"/>
    </row>
    <row r="91">
      <c r="C91" s="12"/>
    </row>
    <row r="92">
      <c r="C92" s="12"/>
    </row>
    <row r="93">
      <c r="C93" s="12"/>
    </row>
    <row r="94">
      <c r="C94" s="12"/>
    </row>
    <row r="95">
      <c r="C95" s="12"/>
    </row>
    <row r="96">
      <c r="C96" s="12"/>
    </row>
    <row r="97">
      <c r="C97" s="12"/>
    </row>
    <row r="98">
      <c r="C98" s="12"/>
    </row>
    <row r="99">
      <c r="C99" s="12"/>
    </row>
    <row r="100">
      <c r="C100" s="12"/>
    </row>
    <row r="101">
      <c r="C101" s="12"/>
    </row>
    <row r="102">
      <c r="C102" s="12"/>
    </row>
    <row r="103">
      <c r="C103" s="12"/>
    </row>
    <row r="104">
      <c r="C104" s="12"/>
    </row>
    <row r="105">
      <c r="C105" s="12"/>
    </row>
    <row r="106">
      <c r="C106" s="12"/>
    </row>
    <row r="107">
      <c r="C107" s="12"/>
    </row>
    <row r="108">
      <c r="C108" s="12"/>
    </row>
    <row r="109">
      <c r="C109" s="12"/>
    </row>
    <row r="110">
      <c r="C110" s="12"/>
    </row>
    <row r="111">
      <c r="C111" s="12"/>
    </row>
    <row r="112">
      <c r="C112" s="12"/>
    </row>
    <row r="113">
      <c r="C113" s="12"/>
    </row>
    <row r="114">
      <c r="C114" s="12"/>
    </row>
    <row r="115">
      <c r="C115" s="12"/>
    </row>
    <row r="116">
      <c r="C116" s="12"/>
    </row>
    <row r="117">
      <c r="C117" s="12"/>
    </row>
    <row r="118">
      <c r="C118" s="12"/>
    </row>
    <row r="119">
      <c r="C119" s="12"/>
    </row>
    <row r="120">
      <c r="C120" s="12"/>
    </row>
    <row r="121">
      <c r="C121" s="12"/>
    </row>
    <row r="122">
      <c r="C122" s="12"/>
    </row>
    <row r="123">
      <c r="C123" s="12"/>
    </row>
    <row r="124">
      <c r="C124" s="12"/>
    </row>
    <row r="125">
      <c r="C125" s="12"/>
    </row>
    <row r="126">
      <c r="C126" s="12"/>
    </row>
    <row r="127">
      <c r="C127" s="12"/>
    </row>
    <row r="128">
      <c r="C128" s="12"/>
    </row>
    <row r="129">
      <c r="C129" s="12"/>
    </row>
    <row r="130">
      <c r="C130" s="12"/>
    </row>
    <row r="131">
      <c r="C131" s="12"/>
    </row>
    <row r="132">
      <c r="C132" s="12"/>
    </row>
    <row r="133">
      <c r="C133" s="12"/>
    </row>
    <row r="134">
      <c r="C134" s="12"/>
    </row>
    <row r="135">
      <c r="C135" s="12"/>
    </row>
    <row r="136">
      <c r="C136" s="12"/>
    </row>
    <row r="137">
      <c r="C137" s="12"/>
    </row>
    <row r="138">
      <c r="C138" s="12"/>
    </row>
    <row r="139">
      <c r="C139" s="12"/>
    </row>
    <row r="140">
      <c r="C140" s="12"/>
    </row>
    <row r="141">
      <c r="C141" s="12"/>
    </row>
    <row r="142">
      <c r="C142" s="12"/>
    </row>
    <row r="143">
      <c r="C143" s="12"/>
    </row>
    <row r="144">
      <c r="C144" s="12"/>
    </row>
    <row r="145">
      <c r="C145" s="12"/>
    </row>
    <row r="146">
      <c r="C146" s="12"/>
    </row>
    <row r="147">
      <c r="C147" s="12"/>
    </row>
    <row r="148">
      <c r="C148" s="12"/>
    </row>
    <row r="149">
      <c r="C149" s="12"/>
    </row>
    <row r="150">
      <c r="C150" s="12"/>
    </row>
    <row r="151">
      <c r="C151" s="12"/>
    </row>
    <row r="152">
      <c r="C152" s="12"/>
    </row>
    <row r="153">
      <c r="C153" s="12"/>
    </row>
    <row r="154">
      <c r="C154" s="12"/>
    </row>
    <row r="155">
      <c r="C155" s="12"/>
    </row>
    <row r="156">
      <c r="C156" s="12"/>
    </row>
    <row r="157">
      <c r="C157" s="12"/>
    </row>
    <row r="158">
      <c r="C158" s="12"/>
    </row>
    <row r="159">
      <c r="C159" s="12"/>
    </row>
    <row r="160">
      <c r="C160" s="12"/>
    </row>
    <row r="161">
      <c r="C161" s="12"/>
    </row>
    <row r="162">
      <c r="C162" s="12"/>
    </row>
    <row r="163">
      <c r="C163" s="12"/>
    </row>
    <row r="164">
      <c r="C164" s="12"/>
    </row>
    <row r="165">
      <c r="C165" s="12"/>
    </row>
    <row r="166">
      <c r="C166" s="12"/>
    </row>
    <row r="167">
      <c r="C167" s="12"/>
    </row>
    <row r="168">
      <c r="C168" s="12"/>
    </row>
    <row r="169">
      <c r="C169" s="12"/>
    </row>
    <row r="170">
      <c r="C170" s="12"/>
    </row>
    <row r="171">
      <c r="C171" s="12"/>
    </row>
    <row r="172">
      <c r="C172" s="12"/>
    </row>
    <row r="173">
      <c r="C173" s="12"/>
    </row>
    <row r="174">
      <c r="C174" s="12"/>
    </row>
    <row r="175">
      <c r="C175" s="12"/>
    </row>
    <row r="176">
      <c r="C176" s="12"/>
    </row>
    <row r="177">
      <c r="C177" s="12"/>
    </row>
    <row r="178">
      <c r="C178" s="12"/>
    </row>
    <row r="179">
      <c r="C179" s="12"/>
    </row>
    <row r="180">
      <c r="C180" s="12"/>
    </row>
    <row r="181">
      <c r="C181" s="12"/>
    </row>
    <row r="182">
      <c r="C182" s="12"/>
    </row>
    <row r="183">
      <c r="C183" s="12"/>
    </row>
    <row r="184">
      <c r="C184" s="12"/>
    </row>
    <row r="185">
      <c r="C185" s="12"/>
    </row>
    <row r="186">
      <c r="C186" s="12"/>
    </row>
    <row r="187">
      <c r="C187" s="12"/>
    </row>
    <row r="188">
      <c r="C188" s="12"/>
    </row>
    <row r="189">
      <c r="C189" s="12"/>
    </row>
    <row r="190">
      <c r="C190" s="12"/>
    </row>
    <row r="191">
      <c r="C191" s="12"/>
    </row>
    <row r="192">
      <c r="C192" s="12"/>
    </row>
    <row r="193">
      <c r="C193" s="12"/>
    </row>
    <row r="194">
      <c r="C194" s="12"/>
    </row>
    <row r="195">
      <c r="C195" s="12"/>
    </row>
    <row r="196">
      <c r="C196" s="12"/>
    </row>
    <row r="197">
      <c r="C197" s="12"/>
    </row>
    <row r="198">
      <c r="C198" s="12"/>
    </row>
    <row r="199">
      <c r="C199" s="12"/>
    </row>
    <row r="200">
      <c r="C200" s="12"/>
    </row>
    <row r="201">
      <c r="C201" s="12"/>
    </row>
    <row r="202">
      <c r="C202" s="12"/>
    </row>
    <row r="203">
      <c r="C203" s="12"/>
    </row>
    <row r="204">
      <c r="C204" s="12"/>
    </row>
    <row r="205">
      <c r="C205" s="12"/>
    </row>
    <row r="206">
      <c r="C206" s="12"/>
    </row>
    <row r="207">
      <c r="C207" s="12"/>
    </row>
    <row r="208">
      <c r="C208" s="12"/>
    </row>
    <row r="209">
      <c r="C209" s="12"/>
    </row>
    <row r="210">
      <c r="C210" s="12"/>
    </row>
    <row r="211">
      <c r="C211" s="12"/>
    </row>
    <row r="212">
      <c r="C212" s="12"/>
    </row>
    <row r="213">
      <c r="C213" s="12"/>
    </row>
    <row r="214">
      <c r="C214" s="12"/>
    </row>
    <row r="215">
      <c r="C215" s="12"/>
    </row>
    <row r="216">
      <c r="C216" s="12"/>
    </row>
    <row r="217">
      <c r="C217" s="12"/>
    </row>
    <row r="218">
      <c r="C218" s="12"/>
    </row>
    <row r="219">
      <c r="C219" s="12"/>
    </row>
    <row r="220">
      <c r="C220" s="12"/>
    </row>
    <row r="221">
      <c r="C221" s="12"/>
    </row>
    <row r="222">
      <c r="C222" s="12"/>
    </row>
    <row r="223">
      <c r="C223" s="12"/>
    </row>
    <row r="224">
      <c r="C224" s="12"/>
    </row>
    <row r="225">
      <c r="C225" s="12"/>
    </row>
    <row r="226">
      <c r="C226" s="12"/>
    </row>
    <row r="227">
      <c r="C227" s="12"/>
    </row>
    <row r="228">
      <c r="C228" s="12"/>
    </row>
    <row r="229">
      <c r="C229" s="12"/>
    </row>
    <row r="230">
      <c r="C230" s="12"/>
    </row>
    <row r="231">
      <c r="C231" s="12"/>
    </row>
    <row r="232">
      <c r="C232" s="12"/>
    </row>
    <row r="233">
      <c r="C233" s="12"/>
    </row>
    <row r="234">
      <c r="C234" s="12"/>
    </row>
    <row r="235">
      <c r="C235" s="12"/>
    </row>
    <row r="236">
      <c r="C236" s="12"/>
    </row>
    <row r="237">
      <c r="C237" s="12"/>
    </row>
    <row r="238">
      <c r="C238" s="12"/>
    </row>
    <row r="239">
      <c r="C239" s="12"/>
    </row>
    <row r="240">
      <c r="C240" s="12"/>
    </row>
    <row r="241">
      <c r="C241" s="12"/>
    </row>
    <row r="242">
      <c r="C242" s="12"/>
    </row>
    <row r="243">
      <c r="C243" s="12"/>
    </row>
    <row r="244">
      <c r="C244" s="12"/>
    </row>
    <row r="245">
      <c r="C245" s="12"/>
    </row>
    <row r="246">
      <c r="C246" s="12"/>
    </row>
    <row r="247">
      <c r="C247" s="12"/>
    </row>
    <row r="248">
      <c r="C248" s="12"/>
    </row>
    <row r="249">
      <c r="C249" s="12"/>
    </row>
    <row r="250">
      <c r="C250" s="12"/>
    </row>
    <row r="251">
      <c r="C251" s="12"/>
    </row>
    <row r="252">
      <c r="C252" s="12"/>
    </row>
    <row r="253">
      <c r="C253" s="12"/>
    </row>
    <row r="254">
      <c r="C254" s="12"/>
    </row>
    <row r="255">
      <c r="C255" s="12"/>
    </row>
    <row r="256">
      <c r="C256" s="12"/>
    </row>
    <row r="257">
      <c r="C257" s="12"/>
    </row>
    <row r="258">
      <c r="C258" s="12"/>
    </row>
    <row r="259">
      <c r="C259" s="12"/>
    </row>
    <row r="260">
      <c r="C260" s="12"/>
    </row>
    <row r="261">
      <c r="C261" s="12"/>
    </row>
    <row r="262">
      <c r="C262" s="12"/>
    </row>
    <row r="263">
      <c r="C263" s="12"/>
    </row>
    <row r="264">
      <c r="C264" s="12"/>
    </row>
    <row r="265">
      <c r="C265" s="12"/>
    </row>
    <row r="266">
      <c r="C266" s="12"/>
    </row>
    <row r="267">
      <c r="C267" s="12"/>
    </row>
    <row r="268">
      <c r="C268" s="12"/>
    </row>
    <row r="269">
      <c r="C269" s="12"/>
    </row>
    <row r="270">
      <c r="C270" s="12"/>
    </row>
    <row r="271">
      <c r="C271" s="12"/>
    </row>
    <row r="272">
      <c r="C272" s="12"/>
    </row>
    <row r="273">
      <c r="C273" s="12"/>
    </row>
    <row r="274">
      <c r="C274" s="12"/>
    </row>
    <row r="275">
      <c r="C275" s="12"/>
    </row>
    <row r="276">
      <c r="C276" s="12"/>
    </row>
    <row r="277">
      <c r="C277" s="12"/>
    </row>
    <row r="278">
      <c r="C278" s="12"/>
    </row>
    <row r="279">
      <c r="C279" s="12"/>
    </row>
    <row r="280">
      <c r="C280" s="12"/>
    </row>
    <row r="281">
      <c r="C281" s="12"/>
    </row>
    <row r="282">
      <c r="C282" s="12"/>
    </row>
    <row r="283">
      <c r="C283" s="12"/>
    </row>
    <row r="284">
      <c r="C284" s="12"/>
    </row>
    <row r="285">
      <c r="C285" s="12"/>
    </row>
    <row r="286">
      <c r="C286" s="12"/>
    </row>
    <row r="287">
      <c r="C287" s="12"/>
    </row>
    <row r="288">
      <c r="C288" s="12"/>
    </row>
    <row r="289">
      <c r="C289" s="12"/>
    </row>
    <row r="290">
      <c r="C290" s="12"/>
    </row>
    <row r="291">
      <c r="C291" s="12"/>
    </row>
    <row r="292">
      <c r="C292" s="12"/>
    </row>
    <row r="293">
      <c r="C293" s="12"/>
    </row>
    <row r="294">
      <c r="C294" s="12"/>
    </row>
    <row r="295">
      <c r="C295" s="12"/>
    </row>
    <row r="296">
      <c r="C296" s="12"/>
    </row>
    <row r="297">
      <c r="C297" s="12"/>
    </row>
    <row r="298">
      <c r="C298" s="12"/>
    </row>
    <row r="299">
      <c r="C299" s="12"/>
    </row>
    <row r="300">
      <c r="C300" s="12"/>
    </row>
    <row r="301">
      <c r="C301" s="12"/>
    </row>
    <row r="302">
      <c r="C302" s="12"/>
    </row>
    <row r="303">
      <c r="C303" s="12"/>
    </row>
    <row r="304">
      <c r="C304" s="12"/>
    </row>
    <row r="305">
      <c r="C305" s="12"/>
    </row>
    <row r="306">
      <c r="C306" s="12"/>
    </row>
    <row r="307">
      <c r="C307" s="12"/>
    </row>
    <row r="308">
      <c r="C308" s="12"/>
    </row>
    <row r="309">
      <c r="C309" s="12"/>
    </row>
    <row r="310">
      <c r="C310" s="12"/>
    </row>
    <row r="311">
      <c r="C311" s="12"/>
    </row>
    <row r="312">
      <c r="C312" s="12"/>
    </row>
    <row r="313">
      <c r="C313" s="12"/>
    </row>
    <row r="314">
      <c r="C314" s="12"/>
    </row>
    <row r="315">
      <c r="C315" s="12"/>
    </row>
    <row r="316">
      <c r="C316" s="12"/>
    </row>
    <row r="317">
      <c r="C317" s="12"/>
    </row>
    <row r="318">
      <c r="C318" s="12"/>
    </row>
    <row r="319">
      <c r="C319" s="12"/>
    </row>
    <row r="320">
      <c r="C320" s="12"/>
    </row>
    <row r="321">
      <c r="C321" s="12"/>
    </row>
    <row r="322">
      <c r="C322" s="12"/>
    </row>
    <row r="323">
      <c r="C323" s="12"/>
    </row>
    <row r="324">
      <c r="C324" s="12"/>
    </row>
    <row r="325">
      <c r="C325" s="12"/>
    </row>
    <row r="326">
      <c r="C326" s="12"/>
    </row>
    <row r="327">
      <c r="C327" s="12"/>
    </row>
    <row r="328">
      <c r="C328" s="12"/>
    </row>
    <row r="329">
      <c r="C329" s="12"/>
    </row>
    <row r="330">
      <c r="C330" s="12"/>
    </row>
    <row r="331">
      <c r="C331" s="12"/>
    </row>
    <row r="332">
      <c r="C332" s="12"/>
    </row>
    <row r="333">
      <c r="C333" s="12"/>
    </row>
    <row r="334">
      <c r="C334" s="12"/>
    </row>
    <row r="335">
      <c r="C335" s="12"/>
    </row>
    <row r="336">
      <c r="C336" s="12"/>
    </row>
    <row r="337">
      <c r="C337" s="12"/>
    </row>
    <row r="338">
      <c r="C338" s="12"/>
    </row>
    <row r="339">
      <c r="C339" s="12"/>
    </row>
    <row r="340">
      <c r="C340" s="12"/>
    </row>
    <row r="341">
      <c r="C341" s="12"/>
    </row>
    <row r="342">
      <c r="C342" s="12"/>
    </row>
    <row r="343">
      <c r="C343" s="12"/>
    </row>
    <row r="344">
      <c r="C344" s="12"/>
    </row>
    <row r="345">
      <c r="C345" s="12"/>
    </row>
    <row r="346">
      <c r="C346" s="12"/>
    </row>
    <row r="347">
      <c r="C347" s="12"/>
    </row>
    <row r="348">
      <c r="C348" s="12"/>
    </row>
    <row r="349">
      <c r="C349" s="12"/>
    </row>
    <row r="350">
      <c r="C350" s="12"/>
    </row>
    <row r="351">
      <c r="C351" s="12"/>
    </row>
    <row r="352">
      <c r="C352" s="12"/>
    </row>
    <row r="353">
      <c r="C353" s="12"/>
    </row>
    <row r="354">
      <c r="C354" s="12"/>
    </row>
    <row r="355">
      <c r="C355" s="12"/>
    </row>
    <row r="356">
      <c r="C356" s="12"/>
    </row>
    <row r="357">
      <c r="C357" s="12"/>
    </row>
    <row r="358">
      <c r="C358" s="12"/>
    </row>
    <row r="359">
      <c r="C359" s="12"/>
    </row>
    <row r="360">
      <c r="C360" s="12"/>
    </row>
    <row r="361">
      <c r="C361" s="12"/>
    </row>
    <row r="362">
      <c r="C362" s="12"/>
    </row>
    <row r="363">
      <c r="C363" s="12"/>
    </row>
    <row r="364">
      <c r="C364" s="12"/>
    </row>
    <row r="365">
      <c r="C365" s="12"/>
    </row>
    <row r="366">
      <c r="C366" s="12"/>
    </row>
    <row r="367">
      <c r="C367" s="12"/>
    </row>
    <row r="368">
      <c r="C368" s="12"/>
    </row>
    <row r="369">
      <c r="C369" s="12"/>
    </row>
    <row r="370">
      <c r="C370" s="12"/>
    </row>
    <row r="371">
      <c r="C371" s="12"/>
    </row>
    <row r="372">
      <c r="C372" s="12"/>
    </row>
    <row r="373">
      <c r="C373" s="12"/>
    </row>
    <row r="374">
      <c r="C374" s="12"/>
    </row>
    <row r="375">
      <c r="C375" s="12"/>
    </row>
    <row r="376">
      <c r="C376" s="12"/>
    </row>
    <row r="377">
      <c r="C377" s="12"/>
    </row>
    <row r="378">
      <c r="C378" s="12"/>
    </row>
    <row r="379">
      <c r="C379" s="12"/>
    </row>
    <row r="380">
      <c r="C380" s="12"/>
    </row>
    <row r="381">
      <c r="C381" s="12"/>
    </row>
    <row r="382">
      <c r="C382" s="12"/>
    </row>
    <row r="383">
      <c r="C383" s="12"/>
    </row>
    <row r="384">
      <c r="C384" s="12"/>
    </row>
    <row r="385">
      <c r="C385" s="12"/>
    </row>
    <row r="386">
      <c r="C386" s="12"/>
    </row>
    <row r="387">
      <c r="C387" s="12"/>
    </row>
    <row r="388">
      <c r="C388" s="12"/>
    </row>
    <row r="389">
      <c r="C389" s="12"/>
    </row>
    <row r="390">
      <c r="C390" s="12"/>
    </row>
    <row r="391">
      <c r="C391" s="12"/>
    </row>
    <row r="392">
      <c r="C392" s="12"/>
    </row>
    <row r="393">
      <c r="C393" s="12"/>
    </row>
    <row r="394">
      <c r="C394" s="12"/>
    </row>
    <row r="395">
      <c r="C395" s="12"/>
    </row>
    <row r="396">
      <c r="C396" s="12"/>
    </row>
    <row r="397">
      <c r="C397" s="12"/>
    </row>
    <row r="398">
      <c r="C398" s="12"/>
    </row>
    <row r="399">
      <c r="C399" s="12"/>
    </row>
    <row r="400">
      <c r="C400" s="12"/>
    </row>
    <row r="401">
      <c r="C401" s="12"/>
    </row>
    <row r="402">
      <c r="C402" s="12"/>
    </row>
    <row r="403">
      <c r="C403" s="12"/>
    </row>
    <row r="404">
      <c r="C404" s="12"/>
    </row>
    <row r="405">
      <c r="C405" s="12"/>
    </row>
    <row r="406">
      <c r="C406" s="12"/>
    </row>
    <row r="407">
      <c r="C407" s="12"/>
    </row>
    <row r="408">
      <c r="C408" s="12"/>
    </row>
    <row r="409">
      <c r="C409" s="12"/>
    </row>
    <row r="410">
      <c r="C410" s="12"/>
    </row>
    <row r="411">
      <c r="C411" s="12"/>
    </row>
    <row r="412">
      <c r="C412" s="12"/>
    </row>
    <row r="413">
      <c r="C413" s="12"/>
    </row>
    <row r="414">
      <c r="C414" s="12"/>
    </row>
    <row r="415">
      <c r="C415" s="12"/>
    </row>
    <row r="416">
      <c r="C416" s="12"/>
    </row>
    <row r="417">
      <c r="C417" s="12"/>
    </row>
    <row r="418">
      <c r="C418" s="12"/>
    </row>
    <row r="419">
      <c r="C419" s="12"/>
    </row>
    <row r="420">
      <c r="C420" s="12"/>
    </row>
    <row r="421">
      <c r="C421" s="12"/>
    </row>
    <row r="422">
      <c r="C422" s="12"/>
    </row>
    <row r="423">
      <c r="C423" s="12"/>
    </row>
    <row r="424">
      <c r="C424" s="12"/>
    </row>
    <row r="425">
      <c r="C425" s="12"/>
    </row>
    <row r="426">
      <c r="C426" s="12"/>
    </row>
    <row r="427">
      <c r="C427" s="12"/>
    </row>
    <row r="428">
      <c r="C428" s="12"/>
    </row>
    <row r="429">
      <c r="C429" s="12"/>
    </row>
    <row r="430">
      <c r="C430" s="12"/>
    </row>
    <row r="431">
      <c r="C431" s="12"/>
    </row>
    <row r="432">
      <c r="C432" s="12"/>
    </row>
    <row r="433">
      <c r="C433" s="12"/>
    </row>
    <row r="434">
      <c r="C434" s="12"/>
    </row>
    <row r="435">
      <c r="C435" s="12"/>
    </row>
    <row r="436">
      <c r="C436" s="12"/>
    </row>
    <row r="437">
      <c r="C437" s="12"/>
    </row>
    <row r="438">
      <c r="C438" s="12"/>
    </row>
    <row r="439">
      <c r="C439" s="12"/>
    </row>
    <row r="440">
      <c r="C440" s="12"/>
    </row>
    <row r="441">
      <c r="C441" s="12"/>
    </row>
    <row r="442">
      <c r="C442" s="12"/>
    </row>
    <row r="443">
      <c r="C443" s="12"/>
    </row>
    <row r="444">
      <c r="C444" s="12"/>
    </row>
    <row r="445">
      <c r="C445" s="12"/>
    </row>
    <row r="446">
      <c r="C446" s="12"/>
    </row>
    <row r="447">
      <c r="C447" s="12"/>
    </row>
    <row r="448">
      <c r="C448" s="12"/>
    </row>
    <row r="449">
      <c r="C449" s="12"/>
    </row>
    <row r="450">
      <c r="C450" s="12"/>
    </row>
    <row r="451">
      <c r="C451" s="12"/>
    </row>
    <row r="452">
      <c r="C452" s="12"/>
    </row>
    <row r="453">
      <c r="C453" s="12"/>
    </row>
    <row r="454">
      <c r="C454" s="12"/>
    </row>
    <row r="455">
      <c r="C455" s="12"/>
    </row>
    <row r="456">
      <c r="C456" s="12"/>
    </row>
    <row r="457">
      <c r="C457" s="12"/>
    </row>
    <row r="458">
      <c r="C458" s="12"/>
    </row>
    <row r="459">
      <c r="C459" s="12"/>
    </row>
    <row r="460">
      <c r="C460" s="12"/>
    </row>
    <row r="461">
      <c r="C461" s="12"/>
    </row>
    <row r="462">
      <c r="C462" s="12"/>
    </row>
    <row r="463">
      <c r="C463" s="12"/>
    </row>
    <row r="464">
      <c r="C464" s="12"/>
    </row>
    <row r="465">
      <c r="C465" s="12"/>
    </row>
    <row r="466">
      <c r="C466" s="12"/>
    </row>
    <row r="467">
      <c r="C467" s="12"/>
    </row>
    <row r="468">
      <c r="C468" s="12"/>
    </row>
    <row r="469">
      <c r="C469" s="12"/>
    </row>
    <row r="470">
      <c r="C470" s="12"/>
    </row>
    <row r="471">
      <c r="C471" s="12"/>
    </row>
    <row r="472">
      <c r="C472" s="12"/>
    </row>
    <row r="473">
      <c r="C473" s="12"/>
    </row>
    <row r="474">
      <c r="C474" s="12"/>
    </row>
    <row r="475">
      <c r="C475" s="12"/>
    </row>
    <row r="476">
      <c r="C476" s="12"/>
    </row>
    <row r="477">
      <c r="C477" s="12"/>
    </row>
    <row r="478">
      <c r="C478" s="12"/>
    </row>
    <row r="479">
      <c r="C479" s="12"/>
    </row>
    <row r="480">
      <c r="C480" s="12"/>
    </row>
    <row r="481">
      <c r="C481" s="12"/>
    </row>
    <row r="482">
      <c r="C482" s="12"/>
    </row>
    <row r="483">
      <c r="C483" s="12"/>
    </row>
    <row r="484">
      <c r="C484" s="12"/>
    </row>
    <row r="485">
      <c r="C485" s="12"/>
    </row>
    <row r="486">
      <c r="C486" s="12"/>
    </row>
    <row r="487">
      <c r="C487" s="12"/>
    </row>
    <row r="488">
      <c r="C488" s="12"/>
    </row>
    <row r="489">
      <c r="C489" s="12"/>
    </row>
    <row r="490">
      <c r="C490" s="12"/>
    </row>
    <row r="491">
      <c r="C491" s="12"/>
    </row>
    <row r="492">
      <c r="C492" s="12"/>
    </row>
    <row r="493">
      <c r="C493" s="12"/>
    </row>
    <row r="494">
      <c r="C494" s="12"/>
    </row>
    <row r="495">
      <c r="C495" s="12"/>
    </row>
    <row r="496">
      <c r="C496" s="12"/>
    </row>
    <row r="497">
      <c r="C497" s="12"/>
    </row>
    <row r="498">
      <c r="C498" s="12"/>
    </row>
    <row r="499">
      <c r="C499" s="12"/>
    </row>
    <row r="500">
      <c r="C500" s="12"/>
    </row>
    <row r="501">
      <c r="C501" s="12"/>
    </row>
    <row r="502">
      <c r="C502" s="12"/>
    </row>
    <row r="503">
      <c r="C503" s="12"/>
    </row>
    <row r="504">
      <c r="C504" s="12"/>
    </row>
    <row r="505">
      <c r="C505" s="12"/>
    </row>
    <row r="506">
      <c r="C506" s="12"/>
    </row>
    <row r="507">
      <c r="C507" s="12"/>
    </row>
    <row r="508">
      <c r="C508" s="12"/>
    </row>
    <row r="509">
      <c r="C509" s="12"/>
    </row>
    <row r="510">
      <c r="C510" s="12"/>
    </row>
    <row r="511">
      <c r="C511" s="12"/>
    </row>
    <row r="512">
      <c r="C512" s="12"/>
    </row>
    <row r="513">
      <c r="C513" s="12"/>
    </row>
    <row r="514">
      <c r="C514" s="12"/>
    </row>
    <row r="515">
      <c r="C515" s="12"/>
    </row>
    <row r="516">
      <c r="C516" s="12"/>
    </row>
    <row r="517">
      <c r="C517" s="12"/>
    </row>
    <row r="518">
      <c r="C518" s="12"/>
    </row>
    <row r="519">
      <c r="C519" s="12"/>
    </row>
    <row r="520">
      <c r="C520" s="12"/>
    </row>
    <row r="521">
      <c r="C521" s="12"/>
    </row>
    <row r="522">
      <c r="C522" s="12"/>
    </row>
    <row r="523">
      <c r="C523" s="12"/>
    </row>
    <row r="524">
      <c r="C524" s="12"/>
    </row>
    <row r="525">
      <c r="C525" s="12"/>
    </row>
    <row r="526">
      <c r="C526" s="12"/>
    </row>
    <row r="527">
      <c r="C527" s="12"/>
    </row>
    <row r="528">
      <c r="C528" s="12"/>
    </row>
    <row r="529">
      <c r="C529" s="12"/>
    </row>
    <row r="530">
      <c r="C530" s="12"/>
    </row>
    <row r="531">
      <c r="C531" s="12"/>
    </row>
    <row r="532">
      <c r="C532" s="12"/>
    </row>
    <row r="533">
      <c r="C533" s="12"/>
    </row>
    <row r="534">
      <c r="C534" s="12"/>
    </row>
    <row r="535">
      <c r="C535" s="12"/>
    </row>
    <row r="536">
      <c r="C536" s="12"/>
    </row>
    <row r="537">
      <c r="C537" s="12"/>
    </row>
    <row r="538">
      <c r="C538" s="12"/>
    </row>
    <row r="539">
      <c r="C539" s="12"/>
    </row>
    <row r="540">
      <c r="C540" s="12"/>
    </row>
    <row r="541">
      <c r="C541" s="12"/>
    </row>
    <row r="542">
      <c r="C542" s="12"/>
    </row>
    <row r="543">
      <c r="C543" s="12"/>
    </row>
    <row r="544">
      <c r="C544" s="12"/>
    </row>
    <row r="545">
      <c r="C545" s="12"/>
    </row>
    <row r="546">
      <c r="C546" s="12"/>
    </row>
    <row r="547">
      <c r="C547" s="12"/>
    </row>
    <row r="548">
      <c r="C548" s="12"/>
    </row>
    <row r="549">
      <c r="C549" s="12"/>
    </row>
    <row r="550">
      <c r="C550" s="12"/>
    </row>
    <row r="551">
      <c r="C551" s="12"/>
    </row>
    <row r="552">
      <c r="C552" s="12"/>
    </row>
    <row r="553">
      <c r="C553" s="12"/>
    </row>
    <row r="554">
      <c r="C554" s="12"/>
    </row>
    <row r="555">
      <c r="C555" s="12"/>
    </row>
    <row r="556">
      <c r="C556" s="12"/>
    </row>
    <row r="557">
      <c r="C557" s="12"/>
    </row>
    <row r="558">
      <c r="C558" s="12"/>
    </row>
    <row r="559">
      <c r="C559" s="12"/>
    </row>
    <row r="560">
      <c r="C560" s="12"/>
    </row>
    <row r="561">
      <c r="C561" s="12"/>
    </row>
    <row r="562">
      <c r="C562" s="12"/>
    </row>
    <row r="563">
      <c r="C563" s="12"/>
    </row>
    <row r="564">
      <c r="C564" s="12"/>
    </row>
    <row r="565">
      <c r="C565" s="12"/>
    </row>
    <row r="566">
      <c r="C566" s="12"/>
    </row>
    <row r="567">
      <c r="C567" s="12"/>
    </row>
    <row r="568">
      <c r="C568" s="12"/>
    </row>
    <row r="569">
      <c r="C569" s="12"/>
    </row>
    <row r="570">
      <c r="C570" s="12"/>
    </row>
    <row r="571">
      <c r="C571" s="12"/>
    </row>
    <row r="572">
      <c r="C572" s="12"/>
    </row>
    <row r="573">
      <c r="C573" s="12"/>
    </row>
    <row r="574">
      <c r="C574" s="12"/>
    </row>
    <row r="575">
      <c r="C575" s="12"/>
    </row>
    <row r="576">
      <c r="C576" s="12"/>
    </row>
    <row r="577">
      <c r="C577" s="12"/>
    </row>
    <row r="578">
      <c r="C578" s="12"/>
    </row>
    <row r="579">
      <c r="C579" s="12"/>
    </row>
    <row r="580">
      <c r="C580" s="12"/>
    </row>
    <row r="581">
      <c r="C581" s="12"/>
    </row>
    <row r="582">
      <c r="C582" s="12"/>
    </row>
    <row r="583">
      <c r="C583" s="12"/>
    </row>
    <row r="584">
      <c r="C584" s="12"/>
    </row>
    <row r="585">
      <c r="C585" s="12"/>
    </row>
    <row r="586">
      <c r="C586" s="12"/>
    </row>
    <row r="587">
      <c r="C587" s="12"/>
    </row>
    <row r="588">
      <c r="C588" s="12"/>
    </row>
    <row r="589">
      <c r="C589" s="12"/>
    </row>
    <row r="590">
      <c r="C590" s="12"/>
    </row>
    <row r="591">
      <c r="C591" s="12"/>
    </row>
    <row r="592">
      <c r="C592" s="12"/>
    </row>
    <row r="593">
      <c r="C593" s="12"/>
    </row>
    <row r="594">
      <c r="C594" s="12"/>
    </row>
    <row r="595">
      <c r="C595" s="12"/>
    </row>
    <row r="596">
      <c r="C596" s="12"/>
    </row>
    <row r="597">
      <c r="C597" s="12"/>
    </row>
    <row r="598">
      <c r="C598" s="12"/>
    </row>
    <row r="599">
      <c r="C599" s="12"/>
    </row>
    <row r="600">
      <c r="C600" s="12"/>
    </row>
    <row r="601">
      <c r="C601" s="12"/>
    </row>
    <row r="602">
      <c r="C602" s="12"/>
    </row>
    <row r="603">
      <c r="C603" s="12"/>
    </row>
    <row r="604">
      <c r="C604" s="12"/>
    </row>
    <row r="605">
      <c r="C605" s="12"/>
    </row>
    <row r="606">
      <c r="C606" s="12"/>
    </row>
    <row r="607">
      <c r="C607" s="12"/>
    </row>
    <row r="608">
      <c r="C608" s="12"/>
    </row>
    <row r="609">
      <c r="C609" s="12"/>
    </row>
    <row r="610">
      <c r="C610" s="12"/>
    </row>
    <row r="611">
      <c r="C611" s="12"/>
    </row>
    <row r="612">
      <c r="C612" s="12"/>
    </row>
    <row r="613">
      <c r="C613" s="12"/>
    </row>
    <row r="614">
      <c r="C614" s="12"/>
    </row>
    <row r="615">
      <c r="C615" s="12"/>
    </row>
    <row r="616">
      <c r="C616" s="12"/>
    </row>
    <row r="617">
      <c r="C617" s="12"/>
    </row>
    <row r="618">
      <c r="C618" s="12"/>
    </row>
    <row r="619">
      <c r="C619" s="12"/>
    </row>
    <row r="620">
      <c r="C620" s="12"/>
    </row>
    <row r="621">
      <c r="C621" s="12"/>
    </row>
    <row r="622">
      <c r="C622" s="12"/>
    </row>
    <row r="623">
      <c r="C623" s="12"/>
    </row>
    <row r="624">
      <c r="C624" s="12"/>
    </row>
    <row r="625">
      <c r="C625" s="12"/>
    </row>
    <row r="626">
      <c r="C626" s="12"/>
    </row>
    <row r="627">
      <c r="C627" s="12"/>
    </row>
    <row r="628">
      <c r="C628" s="12"/>
    </row>
    <row r="629">
      <c r="C629" s="12"/>
    </row>
    <row r="630">
      <c r="C630" s="12"/>
    </row>
    <row r="631">
      <c r="C631" s="12"/>
    </row>
    <row r="632">
      <c r="C632" s="12"/>
    </row>
    <row r="633">
      <c r="C633" s="12"/>
    </row>
    <row r="634">
      <c r="C634" s="12"/>
    </row>
    <row r="635">
      <c r="C635" s="12"/>
    </row>
    <row r="636">
      <c r="C636" s="12"/>
    </row>
    <row r="637">
      <c r="C637" s="12"/>
    </row>
    <row r="638">
      <c r="C638" s="12"/>
    </row>
    <row r="639">
      <c r="C639" s="12"/>
    </row>
    <row r="640">
      <c r="C640" s="12"/>
    </row>
    <row r="641">
      <c r="C641" s="12"/>
    </row>
    <row r="642">
      <c r="C642" s="12"/>
    </row>
    <row r="643">
      <c r="C643" s="12"/>
    </row>
    <row r="644">
      <c r="C644" s="12"/>
    </row>
    <row r="645">
      <c r="C645" s="12"/>
    </row>
    <row r="646">
      <c r="C646" s="12"/>
    </row>
    <row r="647">
      <c r="C647" s="12"/>
    </row>
    <row r="648">
      <c r="C648" s="12"/>
    </row>
    <row r="649">
      <c r="C649" s="12"/>
    </row>
    <row r="650">
      <c r="C650" s="12"/>
    </row>
    <row r="651">
      <c r="C651" s="12"/>
    </row>
    <row r="652">
      <c r="C652" s="12"/>
    </row>
    <row r="653">
      <c r="C653" s="12"/>
    </row>
    <row r="654">
      <c r="C654" s="12"/>
    </row>
    <row r="655">
      <c r="C655" s="12"/>
    </row>
    <row r="656">
      <c r="C656" s="12"/>
    </row>
    <row r="657">
      <c r="C657" s="12"/>
    </row>
    <row r="658">
      <c r="C658" s="12"/>
    </row>
    <row r="659">
      <c r="C659" s="12"/>
    </row>
    <row r="660">
      <c r="C660" s="12"/>
    </row>
    <row r="661">
      <c r="C661" s="12"/>
    </row>
    <row r="662">
      <c r="C662" s="12"/>
    </row>
    <row r="663">
      <c r="C663" s="12"/>
    </row>
    <row r="664">
      <c r="C664" s="12"/>
    </row>
    <row r="665">
      <c r="C665" s="12"/>
    </row>
    <row r="666">
      <c r="C666" s="12"/>
    </row>
    <row r="667">
      <c r="C667" s="12"/>
    </row>
    <row r="668">
      <c r="C668" s="12"/>
    </row>
    <row r="669">
      <c r="C669" s="12"/>
    </row>
    <row r="670">
      <c r="C670" s="12"/>
    </row>
    <row r="671">
      <c r="C671" s="12"/>
    </row>
    <row r="672">
      <c r="C672" s="12"/>
    </row>
    <row r="673">
      <c r="C673" s="12"/>
    </row>
    <row r="674">
      <c r="C674" s="12"/>
    </row>
    <row r="675">
      <c r="C675" s="12"/>
    </row>
    <row r="676">
      <c r="C676" s="12"/>
    </row>
    <row r="677">
      <c r="C677" s="12"/>
    </row>
    <row r="678">
      <c r="C678" s="12"/>
    </row>
    <row r="679">
      <c r="C679" s="12"/>
    </row>
    <row r="680">
      <c r="C680" s="12"/>
    </row>
    <row r="681">
      <c r="C681" s="12"/>
    </row>
    <row r="682">
      <c r="C682" s="12"/>
    </row>
    <row r="683">
      <c r="C683" s="12"/>
    </row>
    <row r="684">
      <c r="C684" s="12"/>
    </row>
    <row r="685">
      <c r="C685" s="12"/>
    </row>
    <row r="686">
      <c r="C686" s="12"/>
    </row>
    <row r="687">
      <c r="C687" s="12"/>
    </row>
    <row r="688">
      <c r="C688" s="12"/>
    </row>
    <row r="689">
      <c r="C689" s="12"/>
    </row>
    <row r="690">
      <c r="C690" s="12"/>
    </row>
    <row r="691">
      <c r="C691" s="12"/>
    </row>
    <row r="692">
      <c r="C692" s="12"/>
    </row>
    <row r="693">
      <c r="C693" s="12"/>
    </row>
    <row r="694">
      <c r="C694" s="12"/>
    </row>
    <row r="695">
      <c r="C695" s="12"/>
    </row>
    <row r="696">
      <c r="C696" s="12"/>
    </row>
    <row r="697">
      <c r="C697" s="12"/>
    </row>
    <row r="698">
      <c r="C698" s="12"/>
    </row>
    <row r="699">
      <c r="C699" s="12"/>
    </row>
    <row r="700">
      <c r="C700" s="12"/>
    </row>
    <row r="701">
      <c r="C701" s="12"/>
    </row>
    <row r="702">
      <c r="C702" s="12"/>
    </row>
    <row r="703">
      <c r="C703" s="12"/>
    </row>
    <row r="704">
      <c r="C704" s="12"/>
    </row>
    <row r="705">
      <c r="C705" s="12"/>
    </row>
    <row r="706">
      <c r="C706" s="12"/>
    </row>
    <row r="707">
      <c r="C707" s="12"/>
    </row>
    <row r="708">
      <c r="C708" s="12"/>
    </row>
    <row r="709">
      <c r="C709" s="12"/>
    </row>
    <row r="710">
      <c r="C710" s="12"/>
    </row>
    <row r="711">
      <c r="C711" s="12"/>
    </row>
    <row r="712">
      <c r="C712" s="12"/>
    </row>
    <row r="713">
      <c r="C713" s="12"/>
    </row>
    <row r="714">
      <c r="C714" s="12"/>
    </row>
    <row r="715">
      <c r="C715" s="12"/>
    </row>
    <row r="716">
      <c r="C716" s="12"/>
    </row>
    <row r="717">
      <c r="C717" s="12"/>
    </row>
    <row r="718">
      <c r="C718" s="12"/>
    </row>
    <row r="719">
      <c r="C719" s="12"/>
    </row>
    <row r="720">
      <c r="C720" s="12"/>
    </row>
    <row r="721">
      <c r="C721" s="12"/>
    </row>
    <row r="722">
      <c r="C722" s="12"/>
    </row>
    <row r="723">
      <c r="C723" s="12"/>
    </row>
    <row r="724">
      <c r="C724" s="12"/>
    </row>
    <row r="725">
      <c r="C725" s="12"/>
    </row>
    <row r="726">
      <c r="C726" s="12"/>
    </row>
    <row r="727">
      <c r="C727" s="12"/>
    </row>
    <row r="728">
      <c r="C728" s="12"/>
    </row>
    <row r="729">
      <c r="C729" s="12"/>
    </row>
    <row r="730">
      <c r="C730" s="12"/>
    </row>
    <row r="731">
      <c r="C731" s="12"/>
    </row>
    <row r="732">
      <c r="C732" s="12"/>
    </row>
    <row r="733">
      <c r="C733" s="12"/>
    </row>
    <row r="734">
      <c r="C734" s="12"/>
    </row>
    <row r="735">
      <c r="C735" s="12"/>
    </row>
    <row r="736">
      <c r="C736" s="12"/>
    </row>
    <row r="737">
      <c r="C737" s="12"/>
    </row>
    <row r="738">
      <c r="C738" s="12"/>
    </row>
    <row r="739">
      <c r="C739" s="12"/>
    </row>
    <row r="740">
      <c r="C740" s="12"/>
    </row>
    <row r="741">
      <c r="C741" s="12"/>
    </row>
    <row r="742">
      <c r="C742" s="12"/>
    </row>
    <row r="743">
      <c r="C743" s="12"/>
    </row>
    <row r="744">
      <c r="C744" s="12"/>
    </row>
    <row r="745">
      <c r="C745" s="12"/>
    </row>
    <row r="746">
      <c r="C746" s="12"/>
    </row>
    <row r="747">
      <c r="C747" s="12"/>
    </row>
    <row r="748">
      <c r="C748" s="12"/>
    </row>
    <row r="749">
      <c r="C749" s="12"/>
    </row>
    <row r="750">
      <c r="C750" s="12"/>
    </row>
    <row r="751">
      <c r="C751" s="12"/>
    </row>
    <row r="752">
      <c r="C752" s="12"/>
    </row>
    <row r="753">
      <c r="C753" s="12"/>
    </row>
    <row r="754">
      <c r="C754" s="12"/>
    </row>
    <row r="755">
      <c r="C755" s="12"/>
    </row>
    <row r="756">
      <c r="C756" s="12"/>
    </row>
    <row r="757">
      <c r="C757" s="12"/>
    </row>
    <row r="758">
      <c r="C758" s="12"/>
    </row>
    <row r="759">
      <c r="C759" s="12"/>
    </row>
    <row r="760">
      <c r="C760" s="12"/>
    </row>
    <row r="761">
      <c r="C761" s="12"/>
    </row>
    <row r="762">
      <c r="C762" s="12"/>
    </row>
    <row r="763">
      <c r="C763" s="12"/>
    </row>
    <row r="764">
      <c r="C764" s="12"/>
    </row>
    <row r="765">
      <c r="C765" s="12"/>
    </row>
    <row r="766">
      <c r="C766" s="12"/>
    </row>
    <row r="767">
      <c r="C767" s="12"/>
    </row>
    <row r="768">
      <c r="C768" s="12"/>
    </row>
    <row r="769">
      <c r="C769" s="12"/>
    </row>
    <row r="770">
      <c r="C770" s="12"/>
    </row>
    <row r="771">
      <c r="C771" s="12"/>
    </row>
    <row r="772">
      <c r="C772" s="12"/>
    </row>
    <row r="773">
      <c r="C773" s="12"/>
    </row>
    <row r="774">
      <c r="C774" s="12"/>
    </row>
    <row r="775">
      <c r="C775" s="12"/>
    </row>
    <row r="776">
      <c r="C776" s="12"/>
    </row>
    <row r="777">
      <c r="C777" s="12"/>
    </row>
    <row r="778">
      <c r="C778" s="12"/>
    </row>
    <row r="779">
      <c r="C779" s="12"/>
    </row>
    <row r="780">
      <c r="C780" s="12"/>
    </row>
    <row r="781">
      <c r="C781" s="12"/>
    </row>
    <row r="782">
      <c r="C782" s="12"/>
    </row>
    <row r="783">
      <c r="C783" s="12"/>
    </row>
    <row r="784">
      <c r="C784" s="12"/>
    </row>
    <row r="785">
      <c r="C785" s="12"/>
    </row>
    <row r="786">
      <c r="C786" s="12"/>
    </row>
    <row r="787">
      <c r="C787" s="12"/>
    </row>
    <row r="788">
      <c r="C788" s="12"/>
    </row>
    <row r="789">
      <c r="C789" s="12"/>
    </row>
    <row r="790">
      <c r="C790" s="12"/>
    </row>
    <row r="791">
      <c r="C791" s="12"/>
    </row>
    <row r="792">
      <c r="C792" s="12"/>
    </row>
    <row r="793">
      <c r="C793" s="12"/>
    </row>
    <row r="794">
      <c r="C794" s="12"/>
    </row>
    <row r="795">
      <c r="C795" s="12"/>
    </row>
    <row r="796">
      <c r="C796" s="12"/>
    </row>
    <row r="797">
      <c r="C797" s="12"/>
    </row>
    <row r="798">
      <c r="C798" s="12"/>
    </row>
    <row r="799">
      <c r="C799" s="12"/>
    </row>
    <row r="800">
      <c r="C800" s="12"/>
    </row>
    <row r="801">
      <c r="C801" s="12"/>
    </row>
    <row r="802">
      <c r="C802" s="12"/>
    </row>
    <row r="803">
      <c r="C803" s="12"/>
    </row>
    <row r="804">
      <c r="C804" s="12"/>
    </row>
    <row r="805">
      <c r="C805" s="12"/>
    </row>
    <row r="806">
      <c r="C806" s="12"/>
    </row>
    <row r="807">
      <c r="C807" s="12"/>
    </row>
    <row r="808">
      <c r="C808" s="12"/>
    </row>
    <row r="809">
      <c r="C809" s="12"/>
    </row>
    <row r="810">
      <c r="C810" s="12"/>
    </row>
    <row r="811">
      <c r="C811" s="12"/>
    </row>
    <row r="812">
      <c r="C812" s="12"/>
    </row>
    <row r="813">
      <c r="C813" s="12"/>
    </row>
    <row r="814">
      <c r="C814" s="12"/>
    </row>
    <row r="815">
      <c r="C815" s="12"/>
    </row>
    <row r="816">
      <c r="C816" s="12"/>
    </row>
    <row r="817">
      <c r="C817" s="12"/>
    </row>
    <row r="818">
      <c r="C818" s="12"/>
    </row>
    <row r="819">
      <c r="C819" s="12"/>
    </row>
    <row r="820">
      <c r="C820" s="12"/>
    </row>
    <row r="821">
      <c r="C821" s="12"/>
    </row>
    <row r="822">
      <c r="C822" s="12"/>
    </row>
    <row r="823">
      <c r="C823" s="12"/>
    </row>
    <row r="824">
      <c r="C824" s="12"/>
    </row>
    <row r="825">
      <c r="C825" s="12"/>
    </row>
    <row r="826">
      <c r="C826" s="12"/>
    </row>
    <row r="827">
      <c r="C827" s="12"/>
    </row>
    <row r="828">
      <c r="C828" s="12"/>
    </row>
    <row r="829">
      <c r="C829" s="12"/>
    </row>
    <row r="830">
      <c r="C830" s="12"/>
    </row>
    <row r="831">
      <c r="C831" s="12"/>
    </row>
    <row r="832">
      <c r="C832" s="12"/>
    </row>
    <row r="833">
      <c r="C833" s="12"/>
    </row>
    <row r="834">
      <c r="C834" s="12"/>
    </row>
    <row r="835">
      <c r="C835" s="12"/>
    </row>
    <row r="836">
      <c r="C836" s="12"/>
    </row>
    <row r="837">
      <c r="C837" s="12"/>
    </row>
    <row r="838">
      <c r="C838" s="12"/>
    </row>
    <row r="839">
      <c r="C839" s="12"/>
    </row>
    <row r="840">
      <c r="C840" s="12"/>
    </row>
    <row r="841">
      <c r="C841" s="12"/>
    </row>
    <row r="842">
      <c r="C842" s="12"/>
    </row>
    <row r="843">
      <c r="C843" s="12"/>
    </row>
    <row r="844">
      <c r="C844" s="12"/>
    </row>
    <row r="845">
      <c r="C845" s="12"/>
    </row>
    <row r="846">
      <c r="C846" s="12"/>
    </row>
    <row r="847">
      <c r="C847" s="12"/>
    </row>
    <row r="848">
      <c r="C848" s="12"/>
    </row>
    <row r="849">
      <c r="C849" s="12"/>
    </row>
    <row r="850">
      <c r="C850" s="12"/>
    </row>
    <row r="851">
      <c r="C851" s="12"/>
    </row>
    <row r="852">
      <c r="C852" s="12"/>
    </row>
    <row r="853">
      <c r="C853" s="12"/>
    </row>
    <row r="854">
      <c r="C854" s="12"/>
    </row>
    <row r="855">
      <c r="C855" s="12"/>
    </row>
    <row r="856">
      <c r="C856" s="12"/>
    </row>
    <row r="857">
      <c r="C857" s="12"/>
    </row>
    <row r="858">
      <c r="C858" s="12"/>
    </row>
    <row r="859">
      <c r="C859" s="12"/>
    </row>
    <row r="860">
      <c r="C860" s="12"/>
    </row>
    <row r="861">
      <c r="C861" s="12"/>
    </row>
    <row r="862">
      <c r="C862" s="12"/>
    </row>
    <row r="863">
      <c r="C863" s="12"/>
    </row>
    <row r="864">
      <c r="C864" s="12"/>
    </row>
    <row r="865">
      <c r="C865" s="12"/>
    </row>
    <row r="866">
      <c r="C866" s="12"/>
    </row>
    <row r="867">
      <c r="C867" s="12"/>
    </row>
    <row r="868">
      <c r="C868" s="12"/>
    </row>
    <row r="869">
      <c r="C869" s="12"/>
    </row>
    <row r="870">
      <c r="C870" s="12"/>
    </row>
    <row r="871">
      <c r="C871" s="12"/>
    </row>
    <row r="872">
      <c r="C872" s="12"/>
    </row>
    <row r="873">
      <c r="C873" s="12"/>
    </row>
    <row r="874">
      <c r="C874" s="12"/>
    </row>
    <row r="875">
      <c r="C875" s="12"/>
    </row>
    <row r="876">
      <c r="C876" s="12"/>
    </row>
    <row r="877">
      <c r="C877" s="12"/>
    </row>
    <row r="878">
      <c r="C878" s="12"/>
    </row>
    <row r="879">
      <c r="C879" s="12"/>
    </row>
    <row r="880">
      <c r="C880" s="12"/>
    </row>
    <row r="881">
      <c r="C881" s="12"/>
    </row>
    <row r="882">
      <c r="C882" s="12"/>
    </row>
    <row r="883">
      <c r="C883" s="12"/>
    </row>
    <row r="884">
      <c r="C884" s="12"/>
    </row>
    <row r="885">
      <c r="C885" s="12"/>
    </row>
    <row r="886">
      <c r="C886" s="12"/>
    </row>
    <row r="887">
      <c r="C887" s="12"/>
    </row>
    <row r="888">
      <c r="C888" s="12"/>
    </row>
    <row r="889">
      <c r="C889" s="12"/>
    </row>
    <row r="890">
      <c r="C890" s="12"/>
    </row>
    <row r="891">
      <c r="C891" s="12"/>
    </row>
    <row r="892">
      <c r="C892" s="12"/>
    </row>
    <row r="893">
      <c r="C893" s="12"/>
    </row>
    <row r="894">
      <c r="C894" s="12"/>
    </row>
    <row r="895">
      <c r="C895" s="12"/>
    </row>
    <row r="896">
      <c r="C896" s="12"/>
    </row>
    <row r="897">
      <c r="C897" s="12"/>
    </row>
    <row r="898">
      <c r="C898" s="12"/>
    </row>
    <row r="899">
      <c r="C899" s="12"/>
    </row>
    <row r="900">
      <c r="C900" s="12"/>
    </row>
    <row r="901">
      <c r="C901" s="12"/>
    </row>
    <row r="902">
      <c r="C902" s="12"/>
    </row>
    <row r="903">
      <c r="C903" s="12"/>
    </row>
    <row r="904">
      <c r="C904" s="12"/>
    </row>
    <row r="905">
      <c r="C905" s="12"/>
    </row>
    <row r="906">
      <c r="C906" s="12"/>
    </row>
    <row r="907">
      <c r="C907" s="12"/>
    </row>
    <row r="908">
      <c r="C908" s="12"/>
    </row>
    <row r="909">
      <c r="C909" s="12"/>
    </row>
    <row r="910">
      <c r="C910" s="12"/>
    </row>
    <row r="911">
      <c r="C911" s="12"/>
    </row>
    <row r="912">
      <c r="C912" s="12"/>
    </row>
    <row r="913">
      <c r="C913" s="12"/>
    </row>
    <row r="914">
      <c r="C914" s="12"/>
    </row>
    <row r="915">
      <c r="C915" s="12"/>
    </row>
    <row r="916">
      <c r="C916" s="12"/>
    </row>
    <row r="917">
      <c r="C917" s="12"/>
    </row>
    <row r="918">
      <c r="C918" s="12"/>
    </row>
    <row r="919">
      <c r="C919" s="12"/>
    </row>
    <row r="920">
      <c r="C920" s="12"/>
    </row>
    <row r="921">
      <c r="C921" s="12"/>
    </row>
    <row r="922">
      <c r="C922" s="12"/>
    </row>
    <row r="923">
      <c r="C923" s="12"/>
    </row>
    <row r="924">
      <c r="C924" s="12"/>
    </row>
    <row r="925">
      <c r="C925" s="12"/>
    </row>
    <row r="926">
      <c r="C926" s="12"/>
    </row>
    <row r="927">
      <c r="C927" s="12"/>
    </row>
    <row r="928">
      <c r="C928" s="12"/>
    </row>
    <row r="929">
      <c r="C929" s="12"/>
    </row>
    <row r="930">
      <c r="C930" s="12"/>
    </row>
    <row r="931">
      <c r="C931" s="12"/>
    </row>
    <row r="932">
      <c r="C932" s="12"/>
    </row>
    <row r="933">
      <c r="C933" s="12"/>
    </row>
    <row r="934">
      <c r="C934" s="12"/>
    </row>
    <row r="935">
      <c r="C935" s="12"/>
    </row>
    <row r="936">
      <c r="C936" s="12"/>
    </row>
    <row r="937">
      <c r="C937" s="12"/>
    </row>
    <row r="938">
      <c r="C938" s="12"/>
    </row>
    <row r="939">
      <c r="C939" s="12"/>
    </row>
    <row r="940">
      <c r="C940" s="12"/>
    </row>
    <row r="941">
      <c r="C941" s="12"/>
    </row>
    <row r="942">
      <c r="C942" s="12"/>
    </row>
    <row r="943">
      <c r="C943" s="12"/>
    </row>
    <row r="944">
      <c r="C944" s="12"/>
    </row>
    <row r="945">
      <c r="C945" s="12"/>
    </row>
    <row r="946">
      <c r="C946" s="12"/>
    </row>
    <row r="947">
      <c r="C947" s="12"/>
    </row>
    <row r="948">
      <c r="C948" s="12"/>
    </row>
    <row r="949">
      <c r="C949" s="12"/>
    </row>
    <row r="950">
      <c r="C950" s="12"/>
    </row>
    <row r="951">
      <c r="C951" s="12"/>
    </row>
    <row r="952">
      <c r="C952" s="12"/>
    </row>
    <row r="953">
      <c r="C953" s="12"/>
    </row>
    <row r="954">
      <c r="C954" s="12"/>
    </row>
    <row r="955">
      <c r="C955" s="12"/>
    </row>
    <row r="956">
      <c r="C956" s="12"/>
    </row>
    <row r="957">
      <c r="C957" s="12"/>
    </row>
    <row r="958">
      <c r="C958" s="12"/>
    </row>
    <row r="959">
      <c r="C959" s="12"/>
    </row>
    <row r="960">
      <c r="C960" s="12"/>
    </row>
    <row r="961">
      <c r="C961" s="12"/>
    </row>
    <row r="962">
      <c r="C962" s="12"/>
    </row>
    <row r="963">
      <c r="C963" s="12"/>
    </row>
    <row r="964">
      <c r="C964" s="12"/>
    </row>
    <row r="965">
      <c r="C965" s="12"/>
    </row>
    <row r="966">
      <c r="C966" s="12"/>
    </row>
    <row r="967">
      <c r="C967" s="12"/>
    </row>
    <row r="968">
      <c r="C968" s="12"/>
    </row>
    <row r="969">
      <c r="C969" s="12"/>
    </row>
    <row r="970">
      <c r="C970" s="12"/>
    </row>
    <row r="971">
      <c r="C971" s="12"/>
    </row>
    <row r="972">
      <c r="C972" s="12"/>
    </row>
    <row r="973">
      <c r="C973" s="12"/>
    </row>
    <row r="974">
      <c r="C974" s="12"/>
    </row>
    <row r="975">
      <c r="C975" s="12"/>
    </row>
    <row r="976">
      <c r="C976" s="12"/>
    </row>
    <row r="977">
      <c r="C977" s="12"/>
    </row>
    <row r="978">
      <c r="C978" s="12"/>
    </row>
    <row r="979">
      <c r="C979" s="12"/>
    </row>
    <row r="980">
      <c r="C980" s="12"/>
    </row>
    <row r="981">
      <c r="C981" s="12"/>
    </row>
    <row r="982">
      <c r="C982" s="12"/>
    </row>
    <row r="983">
      <c r="C983" s="12"/>
    </row>
    <row r="984">
      <c r="C984" s="12"/>
    </row>
    <row r="985">
      <c r="C985" s="12"/>
    </row>
    <row r="986">
      <c r="C986" s="12"/>
    </row>
    <row r="987">
      <c r="C987" s="12"/>
    </row>
    <row r="988">
      <c r="C988" s="12"/>
    </row>
    <row r="989">
      <c r="C989" s="12"/>
    </row>
    <row r="990">
      <c r="C990" s="12"/>
    </row>
    <row r="991">
      <c r="C991" s="12"/>
    </row>
    <row r="992">
      <c r="C992" s="12"/>
    </row>
    <row r="993">
      <c r="C993" s="12"/>
    </row>
    <row r="994">
      <c r="C994" s="12"/>
    </row>
    <row r="995">
      <c r="C995" s="12"/>
    </row>
    <row r="996">
      <c r="C996" s="12"/>
    </row>
    <row r="997">
      <c r="C997" s="12"/>
    </row>
    <row r="998">
      <c r="C998" s="12"/>
    </row>
    <row r="999">
      <c r="C999" s="12"/>
    </row>
    <row r="1000">
      <c r="C1000" s="1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9.25"/>
  </cols>
  <sheetData>
    <row r="1">
      <c r="A1" s="10">
        <v>1.0</v>
      </c>
      <c r="B1" s="10" t="s">
        <v>13</v>
      </c>
      <c r="C1" s="11" t="s">
        <v>241</v>
      </c>
    </row>
    <row r="2">
      <c r="A2" s="10">
        <v>2.0</v>
      </c>
      <c r="B2" s="10" t="s">
        <v>13</v>
      </c>
      <c r="C2" s="11" t="s">
        <v>242</v>
      </c>
    </row>
    <row r="3">
      <c r="A3" s="10">
        <v>3.0</v>
      </c>
      <c r="B3" s="10" t="s">
        <v>13</v>
      </c>
      <c r="C3" s="11" t="s">
        <v>243</v>
      </c>
    </row>
    <row r="4">
      <c r="A4" s="10">
        <v>4.0</v>
      </c>
      <c r="B4" s="10" t="s">
        <v>13</v>
      </c>
      <c r="C4" s="11" t="s">
        <v>244</v>
      </c>
    </row>
    <row r="5">
      <c r="A5" s="10">
        <v>5.0</v>
      </c>
      <c r="B5" s="10" t="s">
        <v>13</v>
      </c>
      <c r="C5" s="11" t="s">
        <v>245</v>
      </c>
    </row>
    <row r="6">
      <c r="A6" s="10">
        <v>6.0</v>
      </c>
      <c r="B6" s="10" t="s">
        <v>13</v>
      </c>
      <c r="C6" s="11" t="s">
        <v>246</v>
      </c>
    </row>
    <row r="7">
      <c r="A7" s="10">
        <v>7.0</v>
      </c>
      <c r="B7" s="10" t="s">
        <v>13</v>
      </c>
      <c r="C7" s="11" t="s">
        <v>247</v>
      </c>
    </row>
    <row r="8">
      <c r="A8" s="10">
        <v>8.0</v>
      </c>
      <c r="B8" s="10" t="s">
        <v>13</v>
      </c>
      <c r="C8" s="11" t="s">
        <v>248</v>
      </c>
    </row>
    <row r="9">
      <c r="A9" s="10">
        <v>9.0</v>
      </c>
      <c r="B9" s="10" t="s">
        <v>13</v>
      </c>
      <c r="C9" s="11" t="s">
        <v>249</v>
      </c>
    </row>
    <row r="10">
      <c r="A10" s="10">
        <v>10.0</v>
      </c>
      <c r="B10" s="10" t="s">
        <v>13</v>
      </c>
      <c r="C10" s="11" t="s">
        <v>250</v>
      </c>
    </row>
    <row r="11">
      <c r="A11" s="10">
        <v>11.0</v>
      </c>
      <c r="B11" s="10" t="s">
        <v>13</v>
      </c>
      <c r="C11" s="11" t="s">
        <v>251</v>
      </c>
    </row>
    <row r="12">
      <c r="A12" s="10">
        <v>12.0</v>
      </c>
      <c r="B12" s="10" t="s">
        <v>13</v>
      </c>
      <c r="C12" s="11" t="s">
        <v>252</v>
      </c>
    </row>
    <row r="13">
      <c r="C13" s="12"/>
    </row>
    <row r="14">
      <c r="C14" s="12"/>
    </row>
    <row r="15">
      <c r="C15" s="12"/>
    </row>
    <row r="16">
      <c r="C16" s="12"/>
    </row>
    <row r="17">
      <c r="C17" s="12"/>
    </row>
    <row r="18">
      <c r="C18" s="12"/>
    </row>
    <row r="19">
      <c r="C19" s="12"/>
    </row>
    <row r="20">
      <c r="C20" s="12"/>
    </row>
    <row r="21">
      <c r="C21" s="12"/>
    </row>
    <row r="22">
      <c r="C22" s="12"/>
    </row>
    <row r="23">
      <c r="C23" s="12"/>
    </row>
    <row r="24">
      <c r="C24" s="12"/>
    </row>
    <row r="25">
      <c r="C25" s="12"/>
    </row>
    <row r="26">
      <c r="C26" s="12"/>
    </row>
    <row r="27">
      <c r="C27" s="12"/>
    </row>
    <row r="28">
      <c r="C28" s="12"/>
    </row>
    <row r="29">
      <c r="C29" s="12"/>
    </row>
    <row r="30">
      <c r="C30" s="12"/>
    </row>
    <row r="31">
      <c r="C31" s="12"/>
    </row>
    <row r="32">
      <c r="C32" s="12"/>
    </row>
    <row r="33">
      <c r="C33" s="12"/>
    </row>
    <row r="34">
      <c r="C34" s="12"/>
    </row>
    <row r="35">
      <c r="C35" s="12"/>
    </row>
    <row r="36">
      <c r="C36" s="12"/>
    </row>
    <row r="37">
      <c r="C37" s="12"/>
    </row>
    <row r="38">
      <c r="C38" s="12"/>
    </row>
    <row r="39">
      <c r="C39" s="12"/>
    </row>
    <row r="40">
      <c r="C40" s="12"/>
    </row>
    <row r="41">
      <c r="C41" s="12"/>
    </row>
    <row r="42">
      <c r="C42" s="12"/>
    </row>
    <row r="43">
      <c r="C43" s="12"/>
    </row>
    <row r="44">
      <c r="C44" s="12"/>
    </row>
    <row r="45">
      <c r="C45" s="12"/>
    </row>
    <row r="46">
      <c r="C46" s="12"/>
    </row>
    <row r="47">
      <c r="C47" s="12"/>
    </row>
    <row r="48">
      <c r="C48" s="12"/>
    </row>
    <row r="49">
      <c r="C49" s="12"/>
    </row>
    <row r="50">
      <c r="C50" s="12"/>
    </row>
    <row r="51">
      <c r="C51" s="12"/>
    </row>
    <row r="52">
      <c r="C52" s="12"/>
    </row>
    <row r="53">
      <c r="C53" s="12"/>
    </row>
    <row r="54">
      <c r="C54" s="12"/>
    </row>
    <row r="55">
      <c r="C55" s="12"/>
    </row>
    <row r="56">
      <c r="C56" s="12"/>
    </row>
    <row r="57">
      <c r="C57" s="12"/>
    </row>
    <row r="58">
      <c r="C58" s="12"/>
    </row>
    <row r="59">
      <c r="C59" s="12"/>
    </row>
    <row r="60">
      <c r="C60" s="12"/>
    </row>
    <row r="61">
      <c r="C61" s="12"/>
    </row>
    <row r="62">
      <c r="C62" s="12"/>
    </row>
    <row r="63">
      <c r="C63" s="12"/>
    </row>
    <row r="64">
      <c r="C64" s="12"/>
    </row>
    <row r="65">
      <c r="C65" s="12"/>
    </row>
    <row r="66">
      <c r="C66" s="12"/>
    </row>
    <row r="67">
      <c r="C67" s="12"/>
    </row>
    <row r="68">
      <c r="C68" s="12"/>
    </row>
    <row r="69">
      <c r="C69" s="12"/>
    </row>
    <row r="70">
      <c r="C70" s="12"/>
    </row>
    <row r="71">
      <c r="C71" s="12"/>
    </row>
    <row r="72">
      <c r="C72" s="12"/>
    </row>
    <row r="73">
      <c r="C73" s="12"/>
    </row>
    <row r="74">
      <c r="C74" s="12"/>
    </row>
    <row r="75">
      <c r="C75" s="12"/>
    </row>
    <row r="76">
      <c r="C76" s="12"/>
    </row>
    <row r="77">
      <c r="C77" s="12"/>
    </row>
    <row r="78">
      <c r="C78" s="12"/>
    </row>
    <row r="79">
      <c r="C79" s="12"/>
    </row>
    <row r="80">
      <c r="C80" s="12"/>
    </row>
    <row r="81">
      <c r="C81" s="12"/>
    </row>
    <row r="82">
      <c r="C82" s="12"/>
    </row>
    <row r="83">
      <c r="C83" s="12"/>
    </row>
    <row r="84">
      <c r="C84" s="12"/>
    </row>
    <row r="85">
      <c r="C85" s="12"/>
    </row>
    <row r="86">
      <c r="C86" s="12"/>
    </row>
    <row r="87">
      <c r="C87" s="12"/>
    </row>
    <row r="88">
      <c r="C88" s="12"/>
    </row>
    <row r="89">
      <c r="C89" s="12"/>
    </row>
    <row r="90">
      <c r="C90" s="12"/>
    </row>
    <row r="91">
      <c r="C91" s="12"/>
    </row>
    <row r="92">
      <c r="C92" s="12"/>
    </row>
    <row r="93">
      <c r="C93" s="12"/>
    </row>
    <row r="94">
      <c r="C94" s="12"/>
    </row>
    <row r="95">
      <c r="C95" s="12"/>
    </row>
    <row r="96">
      <c r="C96" s="12"/>
    </row>
    <row r="97">
      <c r="C97" s="12"/>
    </row>
    <row r="98">
      <c r="C98" s="12"/>
    </row>
    <row r="99">
      <c r="C99" s="12"/>
    </row>
    <row r="100">
      <c r="C100" s="12"/>
    </row>
    <row r="101">
      <c r="C101" s="12"/>
    </row>
    <row r="102">
      <c r="C102" s="12"/>
    </row>
    <row r="103">
      <c r="C103" s="12"/>
    </row>
    <row r="104">
      <c r="C104" s="12"/>
    </row>
    <row r="105">
      <c r="C105" s="12"/>
    </row>
    <row r="106">
      <c r="C106" s="12"/>
    </row>
    <row r="107">
      <c r="C107" s="12"/>
    </row>
    <row r="108">
      <c r="C108" s="12"/>
    </row>
    <row r="109">
      <c r="C109" s="12"/>
    </row>
    <row r="110">
      <c r="C110" s="12"/>
    </row>
    <row r="111">
      <c r="C111" s="12"/>
    </row>
    <row r="112">
      <c r="C112" s="12"/>
    </row>
    <row r="113">
      <c r="C113" s="12"/>
    </row>
    <row r="114">
      <c r="C114" s="12"/>
    </row>
    <row r="115">
      <c r="C115" s="12"/>
    </row>
    <row r="116">
      <c r="C116" s="12"/>
    </row>
    <row r="117">
      <c r="C117" s="12"/>
    </row>
    <row r="118">
      <c r="C118" s="12"/>
    </row>
    <row r="119">
      <c r="C119" s="12"/>
    </row>
    <row r="120">
      <c r="C120" s="12"/>
    </row>
    <row r="121">
      <c r="C121" s="12"/>
    </row>
    <row r="122">
      <c r="C122" s="12"/>
    </row>
    <row r="123">
      <c r="C123" s="12"/>
    </row>
    <row r="124">
      <c r="C124" s="12"/>
    </row>
    <row r="125">
      <c r="C125" s="12"/>
    </row>
    <row r="126">
      <c r="C126" s="12"/>
    </row>
    <row r="127">
      <c r="C127" s="12"/>
    </row>
    <row r="128">
      <c r="C128" s="12"/>
    </row>
    <row r="129">
      <c r="C129" s="12"/>
    </row>
    <row r="130">
      <c r="C130" s="12"/>
    </row>
    <row r="131">
      <c r="C131" s="12"/>
    </row>
    <row r="132">
      <c r="C132" s="12"/>
    </row>
    <row r="133">
      <c r="C133" s="12"/>
    </row>
    <row r="134">
      <c r="C134" s="12"/>
    </row>
    <row r="135">
      <c r="C135" s="12"/>
    </row>
    <row r="136">
      <c r="C136" s="12"/>
    </row>
    <row r="137">
      <c r="C137" s="12"/>
    </row>
    <row r="138">
      <c r="C138" s="12"/>
    </row>
    <row r="139">
      <c r="C139" s="12"/>
    </row>
    <row r="140">
      <c r="C140" s="12"/>
    </row>
    <row r="141">
      <c r="C141" s="12"/>
    </row>
    <row r="142">
      <c r="C142" s="12"/>
    </row>
    <row r="143">
      <c r="C143" s="12"/>
    </row>
    <row r="144">
      <c r="C144" s="12"/>
    </row>
    <row r="145">
      <c r="C145" s="12"/>
    </row>
    <row r="146">
      <c r="C146" s="12"/>
    </row>
    <row r="147">
      <c r="C147" s="12"/>
    </row>
    <row r="148">
      <c r="C148" s="12"/>
    </row>
    <row r="149">
      <c r="C149" s="12"/>
    </row>
    <row r="150">
      <c r="C150" s="12"/>
    </row>
    <row r="151">
      <c r="C151" s="12"/>
    </row>
    <row r="152">
      <c r="C152" s="12"/>
    </row>
    <row r="153">
      <c r="C153" s="12"/>
    </row>
    <row r="154">
      <c r="C154" s="12"/>
    </row>
    <row r="155">
      <c r="C155" s="12"/>
    </row>
    <row r="156">
      <c r="C156" s="12"/>
    </row>
    <row r="157">
      <c r="C157" s="12"/>
    </row>
    <row r="158">
      <c r="C158" s="12"/>
    </row>
    <row r="159">
      <c r="C159" s="12"/>
    </row>
    <row r="160">
      <c r="C160" s="12"/>
    </row>
    <row r="161">
      <c r="C161" s="12"/>
    </row>
    <row r="162">
      <c r="C162" s="12"/>
    </row>
    <row r="163">
      <c r="C163" s="12"/>
    </row>
    <row r="164">
      <c r="C164" s="12"/>
    </row>
    <row r="165">
      <c r="C165" s="12"/>
    </row>
    <row r="166">
      <c r="C166" s="12"/>
    </row>
    <row r="167">
      <c r="C167" s="12"/>
    </row>
    <row r="168">
      <c r="C168" s="12"/>
    </row>
    <row r="169">
      <c r="C169" s="12"/>
    </row>
    <row r="170">
      <c r="C170" s="12"/>
    </row>
    <row r="171">
      <c r="C171" s="12"/>
    </row>
    <row r="172">
      <c r="C172" s="12"/>
    </row>
    <row r="173">
      <c r="C173" s="12"/>
    </row>
    <row r="174">
      <c r="C174" s="12"/>
    </row>
    <row r="175">
      <c r="C175" s="12"/>
    </row>
    <row r="176">
      <c r="C176" s="12"/>
    </row>
    <row r="177">
      <c r="C177" s="12"/>
    </row>
    <row r="178">
      <c r="C178" s="12"/>
    </row>
    <row r="179">
      <c r="C179" s="12"/>
    </row>
    <row r="180">
      <c r="C180" s="12"/>
    </row>
    <row r="181">
      <c r="C181" s="12"/>
    </row>
    <row r="182">
      <c r="C182" s="12"/>
    </row>
    <row r="183">
      <c r="C183" s="12"/>
    </row>
    <row r="184">
      <c r="C184" s="12"/>
    </row>
    <row r="185">
      <c r="C185" s="12"/>
    </row>
    <row r="186">
      <c r="C186" s="12"/>
    </row>
    <row r="187">
      <c r="C187" s="12"/>
    </row>
    <row r="188">
      <c r="C188" s="12"/>
    </row>
    <row r="189">
      <c r="C189" s="12"/>
    </row>
    <row r="190">
      <c r="C190" s="12"/>
    </row>
    <row r="191">
      <c r="C191" s="12"/>
    </row>
    <row r="192">
      <c r="C192" s="12"/>
    </row>
    <row r="193">
      <c r="C193" s="12"/>
    </row>
    <row r="194">
      <c r="C194" s="12"/>
    </row>
    <row r="195">
      <c r="C195" s="12"/>
    </row>
    <row r="196">
      <c r="C196" s="12"/>
    </row>
    <row r="197">
      <c r="C197" s="12"/>
    </row>
    <row r="198">
      <c r="C198" s="12"/>
    </row>
    <row r="199">
      <c r="C199" s="12"/>
    </row>
    <row r="200">
      <c r="C200" s="12"/>
    </row>
    <row r="201">
      <c r="C201" s="12"/>
    </row>
    <row r="202">
      <c r="C202" s="12"/>
    </row>
    <row r="203">
      <c r="C203" s="12"/>
    </row>
    <row r="204">
      <c r="C204" s="12"/>
    </row>
    <row r="205">
      <c r="C205" s="12"/>
    </row>
    <row r="206">
      <c r="C206" s="12"/>
    </row>
    <row r="207">
      <c r="C207" s="12"/>
    </row>
    <row r="208">
      <c r="C208" s="12"/>
    </row>
    <row r="209">
      <c r="C209" s="12"/>
    </row>
    <row r="210">
      <c r="C210" s="12"/>
    </row>
    <row r="211">
      <c r="C211" s="12"/>
    </row>
    <row r="212">
      <c r="C212" s="12"/>
    </row>
    <row r="213">
      <c r="C213" s="12"/>
    </row>
    <row r="214">
      <c r="C214" s="12"/>
    </row>
    <row r="215">
      <c r="C215" s="12"/>
    </row>
    <row r="216">
      <c r="C216" s="12"/>
    </row>
    <row r="217">
      <c r="C217" s="12"/>
    </row>
    <row r="218">
      <c r="C218" s="12"/>
    </row>
    <row r="219">
      <c r="C219" s="12"/>
    </row>
    <row r="220">
      <c r="C220" s="12"/>
    </row>
    <row r="221">
      <c r="C221" s="12"/>
    </row>
    <row r="222">
      <c r="C222" s="12"/>
    </row>
    <row r="223">
      <c r="C223" s="12"/>
    </row>
    <row r="224">
      <c r="C224" s="12"/>
    </row>
    <row r="225">
      <c r="C225" s="12"/>
    </row>
    <row r="226">
      <c r="C226" s="12"/>
    </row>
    <row r="227">
      <c r="C227" s="12"/>
    </row>
    <row r="228">
      <c r="C228" s="12"/>
    </row>
    <row r="229">
      <c r="C229" s="12"/>
    </row>
    <row r="230">
      <c r="C230" s="12"/>
    </row>
    <row r="231">
      <c r="C231" s="12"/>
    </row>
    <row r="232">
      <c r="C232" s="12"/>
    </row>
    <row r="233">
      <c r="C233" s="12"/>
    </row>
    <row r="234">
      <c r="C234" s="12"/>
    </row>
    <row r="235">
      <c r="C235" s="12"/>
    </row>
    <row r="236">
      <c r="C236" s="12"/>
    </row>
    <row r="237">
      <c r="C237" s="12"/>
    </row>
    <row r="238">
      <c r="C238" s="12"/>
    </row>
    <row r="239">
      <c r="C239" s="12"/>
    </row>
    <row r="240">
      <c r="C240" s="12"/>
    </row>
    <row r="241">
      <c r="C241" s="12"/>
    </row>
    <row r="242">
      <c r="C242" s="12"/>
    </row>
    <row r="243">
      <c r="C243" s="12"/>
    </row>
    <row r="244">
      <c r="C244" s="12"/>
    </row>
    <row r="245">
      <c r="C245" s="12"/>
    </row>
    <row r="246">
      <c r="C246" s="12"/>
    </row>
    <row r="247">
      <c r="C247" s="12"/>
    </row>
    <row r="248">
      <c r="C248" s="12"/>
    </row>
    <row r="249">
      <c r="C249" s="12"/>
    </row>
    <row r="250">
      <c r="C250" s="12"/>
    </row>
    <row r="251">
      <c r="C251" s="12"/>
    </row>
    <row r="252">
      <c r="C252" s="12"/>
    </row>
    <row r="253">
      <c r="C253" s="12"/>
    </row>
    <row r="254">
      <c r="C254" s="12"/>
    </row>
    <row r="255">
      <c r="C255" s="12"/>
    </row>
    <row r="256">
      <c r="C256" s="12"/>
    </row>
    <row r="257">
      <c r="C257" s="12"/>
    </row>
    <row r="258">
      <c r="C258" s="12"/>
    </row>
    <row r="259">
      <c r="C259" s="12"/>
    </row>
    <row r="260">
      <c r="C260" s="12"/>
    </row>
    <row r="261">
      <c r="C261" s="12"/>
    </row>
    <row r="262">
      <c r="C262" s="12"/>
    </row>
    <row r="263">
      <c r="C263" s="12"/>
    </row>
    <row r="264">
      <c r="C264" s="12"/>
    </row>
    <row r="265">
      <c r="C265" s="12"/>
    </row>
    <row r="266">
      <c r="C266" s="12"/>
    </row>
    <row r="267">
      <c r="C267" s="12"/>
    </row>
    <row r="268">
      <c r="C268" s="12"/>
    </row>
    <row r="269">
      <c r="C269" s="12"/>
    </row>
    <row r="270">
      <c r="C270" s="12"/>
    </row>
    <row r="271">
      <c r="C271" s="12"/>
    </row>
    <row r="272">
      <c r="C272" s="12"/>
    </row>
    <row r="273">
      <c r="C273" s="12"/>
    </row>
    <row r="274">
      <c r="C274" s="12"/>
    </row>
    <row r="275">
      <c r="C275" s="12"/>
    </row>
    <row r="276">
      <c r="C276" s="12"/>
    </row>
    <row r="277">
      <c r="C277" s="12"/>
    </row>
    <row r="278">
      <c r="C278" s="12"/>
    </row>
    <row r="279">
      <c r="C279" s="12"/>
    </row>
    <row r="280">
      <c r="C280" s="12"/>
    </row>
    <row r="281">
      <c r="C281" s="12"/>
    </row>
    <row r="282">
      <c r="C282" s="12"/>
    </row>
    <row r="283">
      <c r="C283" s="12"/>
    </row>
    <row r="284">
      <c r="C284" s="12"/>
    </row>
    <row r="285">
      <c r="C285" s="12"/>
    </row>
    <row r="286">
      <c r="C286" s="12"/>
    </row>
    <row r="287">
      <c r="C287" s="12"/>
    </row>
    <row r="288">
      <c r="C288" s="12"/>
    </row>
    <row r="289">
      <c r="C289" s="12"/>
    </row>
    <row r="290">
      <c r="C290" s="12"/>
    </row>
    <row r="291">
      <c r="C291" s="12"/>
    </row>
    <row r="292">
      <c r="C292" s="12"/>
    </row>
    <row r="293">
      <c r="C293" s="12"/>
    </row>
    <row r="294">
      <c r="C294" s="12"/>
    </row>
    <row r="295">
      <c r="C295" s="12"/>
    </row>
    <row r="296">
      <c r="C296" s="12"/>
    </row>
    <row r="297">
      <c r="C297" s="12"/>
    </row>
    <row r="298">
      <c r="C298" s="12"/>
    </row>
    <row r="299">
      <c r="C299" s="12"/>
    </row>
    <row r="300">
      <c r="C300" s="12"/>
    </row>
    <row r="301">
      <c r="C301" s="12"/>
    </row>
    <row r="302">
      <c r="C302" s="12"/>
    </row>
    <row r="303">
      <c r="C303" s="12"/>
    </row>
    <row r="304">
      <c r="C304" s="12"/>
    </row>
    <row r="305">
      <c r="C305" s="12"/>
    </row>
    <row r="306">
      <c r="C306" s="12"/>
    </row>
    <row r="307">
      <c r="C307" s="12"/>
    </row>
    <row r="308">
      <c r="C308" s="12"/>
    </row>
    <row r="309">
      <c r="C309" s="12"/>
    </row>
    <row r="310">
      <c r="C310" s="12"/>
    </row>
    <row r="311">
      <c r="C311" s="12"/>
    </row>
    <row r="312">
      <c r="C312" s="12"/>
    </row>
    <row r="313">
      <c r="C313" s="12"/>
    </row>
    <row r="314">
      <c r="C314" s="12"/>
    </row>
    <row r="315">
      <c r="C315" s="12"/>
    </row>
    <row r="316">
      <c r="C316" s="12"/>
    </row>
    <row r="317">
      <c r="C317" s="12"/>
    </row>
    <row r="318">
      <c r="C318" s="12"/>
    </row>
    <row r="319">
      <c r="C319" s="12"/>
    </row>
    <row r="320">
      <c r="C320" s="12"/>
    </row>
    <row r="321">
      <c r="C321" s="12"/>
    </row>
    <row r="322">
      <c r="C322" s="12"/>
    </row>
    <row r="323">
      <c r="C323" s="12"/>
    </row>
    <row r="324">
      <c r="C324" s="12"/>
    </row>
    <row r="325">
      <c r="C325" s="12"/>
    </row>
    <row r="326">
      <c r="C326" s="12"/>
    </row>
    <row r="327">
      <c r="C327" s="12"/>
    </row>
    <row r="328">
      <c r="C328" s="12"/>
    </row>
    <row r="329">
      <c r="C329" s="12"/>
    </row>
    <row r="330">
      <c r="C330" s="12"/>
    </row>
    <row r="331">
      <c r="C331" s="12"/>
    </row>
    <row r="332">
      <c r="C332" s="12"/>
    </row>
    <row r="333">
      <c r="C333" s="12"/>
    </row>
    <row r="334">
      <c r="C334" s="12"/>
    </row>
    <row r="335">
      <c r="C335" s="12"/>
    </row>
    <row r="336">
      <c r="C336" s="12"/>
    </row>
    <row r="337">
      <c r="C337" s="12"/>
    </row>
    <row r="338">
      <c r="C338" s="12"/>
    </row>
    <row r="339">
      <c r="C339" s="12"/>
    </row>
    <row r="340">
      <c r="C340" s="12"/>
    </row>
    <row r="341">
      <c r="C341" s="12"/>
    </row>
    <row r="342">
      <c r="C342" s="12"/>
    </row>
    <row r="343">
      <c r="C343" s="12"/>
    </row>
    <row r="344">
      <c r="C344" s="12"/>
    </row>
    <row r="345">
      <c r="C345" s="12"/>
    </row>
    <row r="346">
      <c r="C346" s="12"/>
    </row>
    <row r="347">
      <c r="C347" s="12"/>
    </row>
    <row r="348">
      <c r="C348" s="12"/>
    </row>
    <row r="349">
      <c r="C349" s="12"/>
    </row>
    <row r="350">
      <c r="C350" s="12"/>
    </row>
    <row r="351">
      <c r="C351" s="12"/>
    </row>
    <row r="352">
      <c r="C352" s="12"/>
    </row>
    <row r="353">
      <c r="C353" s="12"/>
    </row>
    <row r="354">
      <c r="C354" s="12"/>
    </row>
    <row r="355">
      <c r="C355" s="12"/>
    </row>
    <row r="356">
      <c r="C356" s="12"/>
    </row>
    <row r="357">
      <c r="C357" s="12"/>
    </row>
    <row r="358">
      <c r="C358" s="12"/>
    </row>
    <row r="359">
      <c r="C359" s="12"/>
    </row>
    <row r="360">
      <c r="C360" s="12"/>
    </row>
    <row r="361">
      <c r="C361" s="12"/>
    </row>
    <row r="362">
      <c r="C362" s="12"/>
    </row>
    <row r="363">
      <c r="C363" s="12"/>
    </row>
    <row r="364">
      <c r="C364" s="12"/>
    </row>
    <row r="365">
      <c r="C365" s="12"/>
    </row>
    <row r="366">
      <c r="C366" s="12"/>
    </row>
    <row r="367">
      <c r="C367" s="12"/>
    </row>
    <row r="368">
      <c r="C368" s="12"/>
    </row>
    <row r="369">
      <c r="C369" s="12"/>
    </row>
    <row r="370">
      <c r="C370" s="12"/>
    </row>
    <row r="371">
      <c r="C371" s="12"/>
    </row>
    <row r="372">
      <c r="C372" s="12"/>
    </row>
    <row r="373">
      <c r="C373" s="12"/>
    </row>
    <row r="374">
      <c r="C374" s="12"/>
    </row>
    <row r="375">
      <c r="C375" s="12"/>
    </row>
    <row r="376">
      <c r="C376" s="12"/>
    </row>
    <row r="377">
      <c r="C377" s="12"/>
    </row>
    <row r="378">
      <c r="C378" s="12"/>
    </row>
    <row r="379">
      <c r="C379" s="12"/>
    </row>
    <row r="380">
      <c r="C380" s="12"/>
    </row>
    <row r="381">
      <c r="C381" s="12"/>
    </row>
    <row r="382">
      <c r="C382" s="12"/>
    </row>
    <row r="383">
      <c r="C383" s="12"/>
    </row>
    <row r="384">
      <c r="C384" s="12"/>
    </row>
    <row r="385">
      <c r="C385" s="12"/>
    </row>
    <row r="386">
      <c r="C386" s="12"/>
    </row>
    <row r="387">
      <c r="C387" s="12"/>
    </row>
    <row r="388">
      <c r="C388" s="12"/>
    </row>
    <row r="389">
      <c r="C389" s="12"/>
    </row>
    <row r="390">
      <c r="C390" s="12"/>
    </row>
    <row r="391">
      <c r="C391" s="12"/>
    </row>
    <row r="392">
      <c r="C392" s="12"/>
    </row>
    <row r="393">
      <c r="C393" s="12"/>
    </row>
    <row r="394">
      <c r="C394" s="12"/>
    </row>
    <row r="395">
      <c r="C395" s="12"/>
    </row>
    <row r="396">
      <c r="C396" s="12"/>
    </row>
    <row r="397">
      <c r="C397" s="12"/>
    </row>
    <row r="398">
      <c r="C398" s="12"/>
    </row>
    <row r="399">
      <c r="C399" s="12"/>
    </row>
    <row r="400">
      <c r="C400" s="12"/>
    </row>
    <row r="401">
      <c r="C401" s="12"/>
    </row>
    <row r="402">
      <c r="C402" s="12"/>
    </row>
    <row r="403">
      <c r="C403" s="12"/>
    </row>
    <row r="404">
      <c r="C404" s="12"/>
    </row>
    <row r="405">
      <c r="C405" s="12"/>
    </row>
    <row r="406">
      <c r="C406" s="12"/>
    </row>
    <row r="407">
      <c r="C407" s="12"/>
    </row>
    <row r="408">
      <c r="C408" s="12"/>
    </row>
    <row r="409">
      <c r="C409" s="12"/>
    </row>
    <row r="410">
      <c r="C410" s="12"/>
    </row>
    <row r="411">
      <c r="C411" s="12"/>
    </row>
    <row r="412">
      <c r="C412" s="12"/>
    </row>
    <row r="413">
      <c r="C413" s="12"/>
    </row>
    <row r="414">
      <c r="C414" s="12"/>
    </row>
    <row r="415">
      <c r="C415" s="12"/>
    </row>
    <row r="416">
      <c r="C416" s="12"/>
    </row>
    <row r="417">
      <c r="C417" s="12"/>
    </row>
    <row r="418">
      <c r="C418" s="12"/>
    </row>
    <row r="419">
      <c r="C419" s="12"/>
    </row>
    <row r="420">
      <c r="C420" s="12"/>
    </row>
    <row r="421">
      <c r="C421" s="12"/>
    </row>
    <row r="422">
      <c r="C422" s="12"/>
    </row>
    <row r="423">
      <c r="C423" s="12"/>
    </row>
    <row r="424">
      <c r="C424" s="12"/>
    </row>
    <row r="425">
      <c r="C425" s="12"/>
    </row>
    <row r="426">
      <c r="C426" s="12"/>
    </row>
    <row r="427">
      <c r="C427" s="12"/>
    </row>
    <row r="428">
      <c r="C428" s="12"/>
    </row>
    <row r="429">
      <c r="C429" s="12"/>
    </row>
    <row r="430">
      <c r="C430" s="12"/>
    </row>
    <row r="431">
      <c r="C431" s="12"/>
    </row>
    <row r="432">
      <c r="C432" s="12"/>
    </row>
    <row r="433">
      <c r="C433" s="12"/>
    </row>
    <row r="434">
      <c r="C434" s="12"/>
    </row>
    <row r="435">
      <c r="C435" s="12"/>
    </row>
    <row r="436">
      <c r="C436" s="12"/>
    </row>
    <row r="437">
      <c r="C437" s="12"/>
    </row>
    <row r="438">
      <c r="C438" s="12"/>
    </row>
    <row r="439">
      <c r="C439" s="12"/>
    </row>
    <row r="440">
      <c r="C440" s="12"/>
    </row>
    <row r="441">
      <c r="C441" s="12"/>
    </row>
    <row r="442">
      <c r="C442" s="12"/>
    </row>
    <row r="443">
      <c r="C443" s="12"/>
    </row>
    <row r="444">
      <c r="C444" s="12"/>
    </row>
    <row r="445">
      <c r="C445" s="12"/>
    </row>
    <row r="446">
      <c r="C446" s="12"/>
    </row>
    <row r="447">
      <c r="C447" s="12"/>
    </row>
    <row r="448">
      <c r="C448" s="12"/>
    </row>
    <row r="449">
      <c r="C449" s="12"/>
    </row>
    <row r="450">
      <c r="C450" s="12"/>
    </row>
    <row r="451">
      <c r="C451" s="12"/>
    </row>
    <row r="452">
      <c r="C452" s="12"/>
    </row>
    <row r="453">
      <c r="C453" s="12"/>
    </row>
    <row r="454">
      <c r="C454" s="12"/>
    </row>
    <row r="455">
      <c r="C455" s="12"/>
    </row>
    <row r="456">
      <c r="C456" s="12"/>
    </row>
    <row r="457">
      <c r="C457" s="12"/>
    </row>
    <row r="458">
      <c r="C458" s="12"/>
    </row>
    <row r="459">
      <c r="C459" s="12"/>
    </row>
    <row r="460">
      <c r="C460" s="12"/>
    </row>
    <row r="461">
      <c r="C461" s="12"/>
    </row>
    <row r="462">
      <c r="C462" s="12"/>
    </row>
    <row r="463">
      <c r="C463" s="12"/>
    </row>
    <row r="464">
      <c r="C464" s="12"/>
    </row>
    <row r="465">
      <c r="C465" s="12"/>
    </row>
    <row r="466">
      <c r="C466" s="12"/>
    </row>
    <row r="467">
      <c r="C467" s="12"/>
    </row>
    <row r="468">
      <c r="C468" s="12"/>
    </row>
    <row r="469">
      <c r="C469" s="12"/>
    </row>
    <row r="470">
      <c r="C470" s="12"/>
    </row>
    <row r="471">
      <c r="C471" s="12"/>
    </row>
    <row r="472">
      <c r="C472" s="12"/>
    </row>
    <row r="473">
      <c r="C473" s="12"/>
    </row>
    <row r="474">
      <c r="C474" s="12"/>
    </row>
    <row r="475">
      <c r="C475" s="12"/>
    </row>
    <row r="476">
      <c r="C476" s="12"/>
    </row>
    <row r="477">
      <c r="C477" s="12"/>
    </row>
    <row r="478">
      <c r="C478" s="12"/>
    </row>
    <row r="479">
      <c r="C479" s="12"/>
    </row>
    <row r="480">
      <c r="C480" s="12"/>
    </row>
    <row r="481">
      <c r="C481" s="12"/>
    </row>
    <row r="482">
      <c r="C482" s="12"/>
    </row>
    <row r="483">
      <c r="C483" s="12"/>
    </row>
    <row r="484">
      <c r="C484" s="12"/>
    </row>
    <row r="485">
      <c r="C485" s="12"/>
    </row>
    <row r="486">
      <c r="C486" s="12"/>
    </row>
    <row r="487">
      <c r="C487" s="12"/>
    </row>
    <row r="488">
      <c r="C488" s="12"/>
    </row>
    <row r="489">
      <c r="C489" s="12"/>
    </row>
    <row r="490">
      <c r="C490" s="12"/>
    </row>
    <row r="491">
      <c r="C491" s="12"/>
    </row>
    <row r="492">
      <c r="C492" s="12"/>
    </row>
    <row r="493">
      <c r="C493" s="12"/>
    </row>
    <row r="494">
      <c r="C494" s="12"/>
    </row>
    <row r="495">
      <c r="C495" s="12"/>
    </row>
    <row r="496">
      <c r="C496" s="12"/>
    </row>
    <row r="497">
      <c r="C497" s="12"/>
    </row>
    <row r="498">
      <c r="C498" s="12"/>
    </row>
    <row r="499">
      <c r="C499" s="12"/>
    </row>
    <row r="500">
      <c r="C500" s="12"/>
    </row>
    <row r="501">
      <c r="C501" s="12"/>
    </row>
    <row r="502">
      <c r="C502" s="12"/>
    </row>
    <row r="503">
      <c r="C503" s="12"/>
    </row>
    <row r="504">
      <c r="C504" s="12"/>
    </row>
    <row r="505">
      <c r="C505" s="12"/>
    </row>
    <row r="506">
      <c r="C506" s="12"/>
    </row>
    <row r="507">
      <c r="C507" s="12"/>
    </row>
    <row r="508">
      <c r="C508" s="12"/>
    </row>
    <row r="509">
      <c r="C509" s="12"/>
    </row>
    <row r="510">
      <c r="C510" s="12"/>
    </row>
    <row r="511">
      <c r="C511" s="12"/>
    </row>
    <row r="512">
      <c r="C512" s="12"/>
    </row>
    <row r="513">
      <c r="C513" s="12"/>
    </row>
    <row r="514">
      <c r="C514" s="12"/>
    </row>
    <row r="515">
      <c r="C515" s="12"/>
    </row>
    <row r="516">
      <c r="C516" s="12"/>
    </row>
    <row r="517">
      <c r="C517" s="12"/>
    </row>
    <row r="518">
      <c r="C518" s="12"/>
    </row>
    <row r="519">
      <c r="C519" s="12"/>
    </row>
    <row r="520">
      <c r="C520" s="12"/>
    </row>
    <row r="521">
      <c r="C521" s="12"/>
    </row>
    <row r="522">
      <c r="C522" s="12"/>
    </row>
    <row r="523">
      <c r="C523" s="12"/>
    </row>
    <row r="524">
      <c r="C524" s="12"/>
    </row>
    <row r="525">
      <c r="C525" s="12"/>
    </row>
    <row r="526">
      <c r="C526" s="12"/>
    </row>
    <row r="527">
      <c r="C527" s="12"/>
    </row>
    <row r="528">
      <c r="C528" s="12"/>
    </row>
    <row r="529">
      <c r="C529" s="12"/>
    </row>
    <row r="530">
      <c r="C530" s="12"/>
    </row>
    <row r="531">
      <c r="C531" s="12"/>
    </row>
    <row r="532">
      <c r="C532" s="12"/>
    </row>
    <row r="533">
      <c r="C533" s="12"/>
    </row>
    <row r="534">
      <c r="C534" s="12"/>
    </row>
    <row r="535">
      <c r="C535" s="12"/>
    </row>
    <row r="536">
      <c r="C536" s="12"/>
    </row>
    <row r="537">
      <c r="C537" s="12"/>
    </row>
    <row r="538">
      <c r="C538" s="12"/>
    </row>
    <row r="539">
      <c r="C539" s="12"/>
    </row>
    <row r="540">
      <c r="C540" s="12"/>
    </row>
    <row r="541">
      <c r="C541" s="12"/>
    </row>
    <row r="542">
      <c r="C542" s="12"/>
    </row>
    <row r="543">
      <c r="C543" s="12"/>
    </row>
    <row r="544">
      <c r="C544" s="12"/>
    </row>
    <row r="545">
      <c r="C545" s="12"/>
    </row>
    <row r="546">
      <c r="C546" s="12"/>
    </row>
    <row r="547">
      <c r="C547" s="12"/>
    </row>
    <row r="548">
      <c r="C548" s="12"/>
    </row>
    <row r="549">
      <c r="C549" s="12"/>
    </row>
    <row r="550">
      <c r="C550" s="12"/>
    </row>
    <row r="551">
      <c r="C551" s="12"/>
    </row>
    <row r="552">
      <c r="C552" s="12"/>
    </row>
    <row r="553">
      <c r="C553" s="12"/>
    </row>
    <row r="554">
      <c r="C554" s="12"/>
    </row>
    <row r="555">
      <c r="C555" s="12"/>
    </row>
    <row r="556">
      <c r="C556" s="12"/>
    </row>
    <row r="557">
      <c r="C557" s="12"/>
    </row>
    <row r="558">
      <c r="C558" s="12"/>
    </row>
    <row r="559">
      <c r="C559" s="12"/>
    </row>
    <row r="560">
      <c r="C560" s="12"/>
    </row>
    <row r="561">
      <c r="C561" s="12"/>
    </row>
    <row r="562">
      <c r="C562" s="12"/>
    </row>
    <row r="563">
      <c r="C563" s="12"/>
    </row>
    <row r="564">
      <c r="C564" s="12"/>
    </row>
    <row r="565">
      <c r="C565" s="12"/>
    </row>
    <row r="566">
      <c r="C566" s="12"/>
    </row>
    <row r="567">
      <c r="C567" s="12"/>
    </row>
    <row r="568">
      <c r="C568" s="12"/>
    </row>
    <row r="569">
      <c r="C569" s="12"/>
    </row>
    <row r="570">
      <c r="C570" s="12"/>
    </row>
    <row r="571">
      <c r="C571" s="12"/>
    </row>
    <row r="572">
      <c r="C572" s="12"/>
    </row>
    <row r="573">
      <c r="C573" s="12"/>
    </row>
    <row r="574">
      <c r="C574" s="12"/>
    </row>
    <row r="575">
      <c r="C575" s="12"/>
    </row>
    <row r="576">
      <c r="C576" s="12"/>
    </row>
    <row r="577">
      <c r="C577" s="12"/>
    </row>
    <row r="578">
      <c r="C578" s="12"/>
    </row>
    <row r="579">
      <c r="C579" s="12"/>
    </row>
    <row r="580">
      <c r="C580" s="12"/>
    </row>
    <row r="581">
      <c r="C581" s="12"/>
    </row>
    <row r="582">
      <c r="C582" s="12"/>
    </row>
    <row r="583">
      <c r="C583" s="12"/>
    </row>
    <row r="584">
      <c r="C584" s="12"/>
    </row>
    <row r="585">
      <c r="C585" s="12"/>
    </row>
    <row r="586">
      <c r="C586" s="12"/>
    </row>
    <row r="587">
      <c r="C587" s="12"/>
    </row>
    <row r="588">
      <c r="C588" s="12"/>
    </row>
    <row r="589">
      <c r="C589" s="12"/>
    </row>
    <row r="590">
      <c r="C590" s="12"/>
    </row>
    <row r="591">
      <c r="C591" s="12"/>
    </row>
    <row r="592">
      <c r="C592" s="12"/>
    </row>
    <row r="593">
      <c r="C593" s="12"/>
    </row>
    <row r="594">
      <c r="C594" s="12"/>
    </row>
    <row r="595">
      <c r="C595" s="12"/>
    </row>
    <row r="596">
      <c r="C596" s="12"/>
    </row>
    <row r="597">
      <c r="C597" s="12"/>
    </row>
    <row r="598">
      <c r="C598" s="12"/>
    </row>
    <row r="599">
      <c r="C599" s="12"/>
    </row>
    <row r="600">
      <c r="C600" s="12"/>
    </row>
    <row r="601">
      <c r="C601" s="12"/>
    </row>
    <row r="602">
      <c r="C602" s="12"/>
    </row>
    <row r="603">
      <c r="C603" s="12"/>
    </row>
    <row r="604">
      <c r="C604" s="12"/>
    </row>
    <row r="605">
      <c r="C605" s="12"/>
    </row>
    <row r="606">
      <c r="C606" s="12"/>
    </row>
    <row r="607">
      <c r="C607" s="12"/>
    </row>
    <row r="608">
      <c r="C608" s="12"/>
    </row>
    <row r="609">
      <c r="C609" s="12"/>
    </row>
    <row r="610">
      <c r="C610" s="12"/>
    </row>
    <row r="611">
      <c r="C611" s="12"/>
    </row>
    <row r="612">
      <c r="C612" s="12"/>
    </row>
    <row r="613">
      <c r="C613" s="12"/>
    </row>
    <row r="614">
      <c r="C614" s="12"/>
    </row>
    <row r="615">
      <c r="C615" s="12"/>
    </row>
    <row r="616">
      <c r="C616" s="12"/>
    </row>
    <row r="617">
      <c r="C617" s="12"/>
    </row>
    <row r="618">
      <c r="C618" s="12"/>
    </row>
    <row r="619">
      <c r="C619" s="12"/>
    </row>
    <row r="620">
      <c r="C620" s="12"/>
    </row>
    <row r="621">
      <c r="C621" s="12"/>
    </row>
    <row r="622">
      <c r="C622" s="12"/>
    </row>
    <row r="623">
      <c r="C623" s="12"/>
    </row>
    <row r="624">
      <c r="C624" s="12"/>
    </row>
    <row r="625">
      <c r="C625" s="12"/>
    </row>
    <row r="626">
      <c r="C626" s="12"/>
    </row>
    <row r="627">
      <c r="C627" s="12"/>
    </row>
    <row r="628">
      <c r="C628" s="12"/>
    </row>
    <row r="629">
      <c r="C629" s="12"/>
    </row>
    <row r="630">
      <c r="C630" s="12"/>
    </row>
    <row r="631">
      <c r="C631" s="12"/>
    </row>
    <row r="632">
      <c r="C632" s="12"/>
    </row>
    <row r="633">
      <c r="C633" s="12"/>
    </row>
    <row r="634">
      <c r="C634" s="12"/>
    </row>
    <row r="635">
      <c r="C635" s="12"/>
    </row>
    <row r="636">
      <c r="C636" s="12"/>
    </row>
    <row r="637">
      <c r="C637" s="12"/>
    </row>
    <row r="638">
      <c r="C638" s="12"/>
    </row>
    <row r="639">
      <c r="C639" s="12"/>
    </row>
    <row r="640">
      <c r="C640" s="12"/>
    </row>
    <row r="641">
      <c r="C641" s="12"/>
    </row>
    <row r="642">
      <c r="C642" s="12"/>
    </row>
    <row r="643">
      <c r="C643" s="12"/>
    </row>
    <row r="644">
      <c r="C644" s="12"/>
    </row>
    <row r="645">
      <c r="C645" s="12"/>
    </row>
    <row r="646">
      <c r="C646" s="12"/>
    </row>
    <row r="647">
      <c r="C647" s="12"/>
    </row>
    <row r="648">
      <c r="C648" s="12"/>
    </row>
    <row r="649">
      <c r="C649" s="12"/>
    </row>
    <row r="650">
      <c r="C650" s="12"/>
    </row>
    <row r="651">
      <c r="C651" s="12"/>
    </row>
    <row r="652">
      <c r="C652" s="12"/>
    </row>
    <row r="653">
      <c r="C653" s="12"/>
    </row>
    <row r="654">
      <c r="C654" s="12"/>
    </row>
    <row r="655">
      <c r="C655" s="12"/>
    </row>
    <row r="656">
      <c r="C656" s="12"/>
    </row>
    <row r="657">
      <c r="C657" s="12"/>
    </row>
    <row r="658">
      <c r="C658" s="12"/>
    </row>
    <row r="659">
      <c r="C659" s="12"/>
    </row>
    <row r="660">
      <c r="C660" s="12"/>
    </row>
    <row r="661">
      <c r="C661" s="12"/>
    </row>
    <row r="662">
      <c r="C662" s="12"/>
    </row>
    <row r="663">
      <c r="C663" s="12"/>
    </row>
    <row r="664">
      <c r="C664" s="12"/>
    </row>
    <row r="665">
      <c r="C665" s="12"/>
    </row>
    <row r="666">
      <c r="C666" s="12"/>
    </row>
    <row r="667">
      <c r="C667" s="12"/>
    </row>
    <row r="668">
      <c r="C668" s="12"/>
    </row>
    <row r="669">
      <c r="C669" s="12"/>
    </row>
    <row r="670">
      <c r="C670" s="12"/>
    </row>
    <row r="671">
      <c r="C671" s="12"/>
    </row>
    <row r="672">
      <c r="C672" s="12"/>
    </row>
    <row r="673">
      <c r="C673" s="12"/>
    </row>
    <row r="674">
      <c r="C674" s="12"/>
    </row>
    <row r="675">
      <c r="C675" s="12"/>
    </row>
    <row r="676">
      <c r="C676" s="12"/>
    </row>
    <row r="677">
      <c r="C677" s="12"/>
    </row>
    <row r="678">
      <c r="C678" s="12"/>
    </row>
    <row r="679">
      <c r="C679" s="12"/>
    </row>
    <row r="680">
      <c r="C680" s="12"/>
    </row>
    <row r="681">
      <c r="C681" s="12"/>
    </row>
    <row r="682">
      <c r="C682" s="12"/>
    </row>
    <row r="683">
      <c r="C683" s="12"/>
    </row>
    <row r="684">
      <c r="C684" s="12"/>
    </row>
    <row r="685">
      <c r="C685" s="12"/>
    </row>
    <row r="686">
      <c r="C686" s="12"/>
    </row>
    <row r="687">
      <c r="C687" s="12"/>
    </row>
    <row r="688">
      <c r="C688" s="12"/>
    </row>
    <row r="689">
      <c r="C689" s="12"/>
    </row>
    <row r="690">
      <c r="C690" s="12"/>
    </row>
    <row r="691">
      <c r="C691" s="12"/>
    </row>
    <row r="692">
      <c r="C692" s="12"/>
    </row>
    <row r="693">
      <c r="C693" s="12"/>
    </row>
    <row r="694">
      <c r="C694" s="12"/>
    </row>
    <row r="695">
      <c r="C695" s="12"/>
    </row>
    <row r="696">
      <c r="C696" s="12"/>
    </row>
    <row r="697">
      <c r="C697" s="12"/>
    </row>
    <row r="698">
      <c r="C698" s="12"/>
    </row>
    <row r="699">
      <c r="C699" s="12"/>
    </row>
    <row r="700">
      <c r="C700" s="12"/>
    </row>
    <row r="701">
      <c r="C701" s="12"/>
    </row>
    <row r="702">
      <c r="C702" s="12"/>
    </row>
    <row r="703">
      <c r="C703" s="12"/>
    </row>
    <row r="704">
      <c r="C704" s="12"/>
    </row>
    <row r="705">
      <c r="C705" s="12"/>
    </row>
    <row r="706">
      <c r="C706" s="12"/>
    </row>
    <row r="707">
      <c r="C707" s="12"/>
    </row>
    <row r="708">
      <c r="C708" s="12"/>
    </row>
    <row r="709">
      <c r="C709" s="12"/>
    </row>
    <row r="710">
      <c r="C710" s="12"/>
    </row>
    <row r="711">
      <c r="C711" s="12"/>
    </row>
    <row r="712">
      <c r="C712" s="12"/>
    </row>
    <row r="713">
      <c r="C713" s="12"/>
    </row>
    <row r="714">
      <c r="C714" s="12"/>
    </row>
    <row r="715">
      <c r="C715" s="12"/>
    </row>
    <row r="716">
      <c r="C716" s="12"/>
    </row>
    <row r="717">
      <c r="C717" s="12"/>
    </row>
    <row r="718">
      <c r="C718" s="12"/>
    </row>
    <row r="719">
      <c r="C719" s="12"/>
    </row>
    <row r="720">
      <c r="C720" s="12"/>
    </row>
    <row r="721">
      <c r="C721" s="12"/>
    </row>
    <row r="722">
      <c r="C722" s="12"/>
    </row>
    <row r="723">
      <c r="C723" s="12"/>
    </row>
    <row r="724">
      <c r="C724" s="12"/>
    </row>
    <row r="725">
      <c r="C725" s="12"/>
    </row>
    <row r="726">
      <c r="C726" s="12"/>
    </row>
    <row r="727">
      <c r="C727" s="12"/>
    </row>
    <row r="728">
      <c r="C728" s="12"/>
    </row>
    <row r="729">
      <c r="C729" s="12"/>
    </row>
    <row r="730">
      <c r="C730" s="12"/>
    </row>
    <row r="731">
      <c r="C731" s="12"/>
    </row>
    <row r="732">
      <c r="C732" s="12"/>
    </row>
    <row r="733">
      <c r="C733" s="12"/>
    </row>
    <row r="734">
      <c r="C734" s="12"/>
    </row>
    <row r="735">
      <c r="C735" s="12"/>
    </row>
    <row r="736">
      <c r="C736" s="12"/>
    </row>
    <row r="737">
      <c r="C737" s="12"/>
    </row>
    <row r="738">
      <c r="C738" s="12"/>
    </row>
    <row r="739">
      <c r="C739" s="12"/>
    </row>
    <row r="740">
      <c r="C740" s="12"/>
    </row>
    <row r="741">
      <c r="C741" s="12"/>
    </row>
    <row r="742">
      <c r="C742" s="12"/>
    </row>
    <row r="743">
      <c r="C743" s="12"/>
    </row>
    <row r="744">
      <c r="C744" s="12"/>
    </row>
    <row r="745">
      <c r="C745" s="12"/>
    </row>
    <row r="746">
      <c r="C746" s="12"/>
    </row>
    <row r="747">
      <c r="C747" s="12"/>
    </row>
    <row r="748">
      <c r="C748" s="12"/>
    </row>
    <row r="749">
      <c r="C749" s="12"/>
    </row>
    <row r="750">
      <c r="C750" s="12"/>
    </row>
    <row r="751">
      <c r="C751" s="12"/>
    </row>
    <row r="752">
      <c r="C752" s="12"/>
    </row>
    <row r="753">
      <c r="C753" s="12"/>
    </row>
    <row r="754">
      <c r="C754" s="12"/>
    </row>
    <row r="755">
      <c r="C755" s="12"/>
    </row>
    <row r="756">
      <c r="C756" s="12"/>
    </row>
    <row r="757">
      <c r="C757" s="12"/>
    </row>
    <row r="758">
      <c r="C758" s="12"/>
    </row>
    <row r="759">
      <c r="C759" s="12"/>
    </row>
    <row r="760">
      <c r="C760" s="12"/>
    </row>
    <row r="761">
      <c r="C761" s="12"/>
    </row>
    <row r="762">
      <c r="C762" s="12"/>
    </row>
    <row r="763">
      <c r="C763" s="12"/>
    </row>
    <row r="764">
      <c r="C764" s="12"/>
    </row>
    <row r="765">
      <c r="C765" s="12"/>
    </row>
    <row r="766">
      <c r="C766" s="12"/>
    </row>
    <row r="767">
      <c r="C767" s="12"/>
    </row>
    <row r="768">
      <c r="C768" s="12"/>
    </row>
    <row r="769">
      <c r="C769" s="12"/>
    </row>
    <row r="770">
      <c r="C770" s="12"/>
    </row>
    <row r="771">
      <c r="C771" s="12"/>
    </row>
    <row r="772">
      <c r="C772" s="12"/>
    </row>
    <row r="773">
      <c r="C773" s="12"/>
    </row>
    <row r="774">
      <c r="C774" s="12"/>
    </row>
    <row r="775">
      <c r="C775" s="12"/>
    </row>
    <row r="776">
      <c r="C776" s="12"/>
    </row>
    <row r="777">
      <c r="C777" s="12"/>
    </row>
    <row r="778">
      <c r="C778" s="12"/>
    </row>
    <row r="779">
      <c r="C779" s="12"/>
    </row>
    <row r="780">
      <c r="C780" s="12"/>
    </row>
    <row r="781">
      <c r="C781" s="12"/>
    </row>
    <row r="782">
      <c r="C782" s="12"/>
    </row>
    <row r="783">
      <c r="C783" s="12"/>
    </row>
    <row r="784">
      <c r="C784" s="12"/>
    </row>
    <row r="785">
      <c r="C785" s="12"/>
    </row>
    <row r="786">
      <c r="C786" s="12"/>
    </row>
    <row r="787">
      <c r="C787" s="12"/>
    </row>
    <row r="788">
      <c r="C788" s="12"/>
    </row>
    <row r="789">
      <c r="C789" s="12"/>
    </row>
    <row r="790">
      <c r="C790" s="12"/>
    </row>
    <row r="791">
      <c r="C791" s="12"/>
    </row>
    <row r="792">
      <c r="C792" s="12"/>
    </row>
    <row r="793">
      <c r="C793" s="12"/>
    </row>
    <row r="794">
      <c r="C794" s="12"/>
    </row>
    <row r="795">
      <c r="C795" s="12"/>
    </row>
    <row r="796">
      <c r="C796" s="12"/>
    </row>
    <row r="797">
      <c r="C797" s="12"/>
    </row>
    <row r="798">
      <c r="C798" s="12"/>
    </row>
    <row r="799">
      <c r="C799" s="12"/>
    </row>
    <row r="800">
      <c r="C800" s="12"/>
    </row>
    <row r="801">
      <c r="C801" s="12"/>
    </row>
    <row r="802">
      <c r="C802" s="12"/>
    </row>
    <row r="803">
      <c r="C803" s="12"/>
    </row>
    <row r="804">
      <c r="C804" s="12"/>
    </row>
    <row r="805">
      <c r="C805" s="12"/>
    </row>
    <row r="806">
      <c r="C806" s="12"/>
    </row>
    <row r="807">
      <c r="C807" s="12"/>
    </row>
    <row r="808">
      <c r="C808" s="12"/>
    </row>
    <row r="809">
      <c r="C809" s="12"/>
    </row>
    <row r="810">
      <c r="C810" s="12"/>
    </row>
    <row r="811">
      <c r="C811" s="12"/>
    </row>
    <row r="812">
      <c r="C812" s="12"/>
    </row>
    <row r="813">
      <c r="C813" s="12"/>
    </row>
    <row r="814">
      <c r="C814" s="12"/>
    </row>
    <row r="815">
      <c r="C815" s="12"/>
    </row>
    <row r="816">
      <c r="C816" s="12"/>
    </row>
    <row r="817">
      <c r="C817" s="12"/>
    </row>
    <row r="818">
      <c r="C818" s="12"/>
    </row>
    <row r="819">
      <c r="C819" s="12"/>
    </row>
    <row r="820">
      <c r="C820" s="12"/>
    </row>
    <row r="821">
      <c r="C821" s="12"/>
    </row>
    <row r="822">
      <c r="C822" s="12"/>
    </row>
    <row r="823">
      <c r="C823" s="12"/>
    </row>
    <row r="824">
      <c r="C824" s="12"/>
    </row>
    <row r="825">
      <c r="C825" s="12"/>
    </row>
    <row r="826">
      <c r="C826" s="12"/>
    </row>
    <row r="827">
      <c r="C827" s="12"/>
    </row>
    <row r="828">
      <c r="C828" s="12"/>
    </row>
    <row r="829">
      <c r="C829" s="12"/>
    </row>
    <row r="830">
      <c r="C830" s="12"/>
    </row>
    <row r="831">
      <c r="C831" s="12"/>
    </row>
    <row r="832">
      <c r="C832" s="12"/>
    </row>
    <row r="833">
      <c r="C833" s="12"/>
    </row>
    <row r="834">
      <c r="C834" s="12"/>
    </row>
    <row r="835">
      <c r="C835" s="12"/>
    </row>
    <row r="836">
      <c r="C836" s="12"/>
    </row>
    <row r="837">
      <c r="C837" s="12"/>
    </row>
    <row r="838">
      <c r="C838" s="12"/>
    </row>
    <row r="839">
      <c r="C839" s="12"/>
    </row>
    <row r="840">
      <c r="C840" s="12"/>
    </row>
    <row r="841">
      <c r="C841" s="12"/>
    </row>
    <row r="842">
      <c r="C842" s="12"/>
    </row>
    <row r="843">
      <c r="C843" s="12"/>
    </row>
    <row r="844">
      <c r="C844" s="12"/>
    </row>
    <row r="845">
      <c r="C845" s="12"/>
    </row>
    <row r="846">
      <c r="C846" s="12"/>
    </row>
    <row r="847">
      <c r="C847" s="12"/>
    </row>
    <row r="848">
      <c r="C848" s="12"/>
    </row>
    <row r="849">
      <c r="C849" s="12"/>
    </row>
    <row r="850">
      <c r="C850" s="12"/>
    </row>
    <row r="851">
      <c r="C851" s="12"/>
    </row>
    <row r="852">
      <c r="C852" s="12"/>
    </row>
    <row r="853">
      <c r="C853" s="12"/>
    </row>
    <row r="854">
      <c r="C854" s="12"/>
    </row>
    <row r="855">
      <c r="C855" s="12"/>
    </row>
    <row r="856">
      <c r="C856" s="12"/>
    </row>
    <row r="857">
      <c r="C857" s="12"/>
    </row>
    <row r="858">
      <c r="C858" s="12"/>
    </row>
    <row r="859">
      <c r="C859" s="12"/>
    </row>
    <row r="860">
      <c r="C860" s="12"/>
    </row>
    <row r="861">
      <c r="C861" s="12"/>
    </row>
    <row r="862">
      <c r="C862" s="12"/>
    </row>
    <row r="863">
      <c r="C863" s="12"/>
    </row>
    <row r="864">
      <c r="C864" s="12"/>
    </row>
    <row r="865">
      <c r="C865" s="12"/>
    </row>
    <row r="866">
      <c r="C866" s="12"/>
    </row>
    <row r="867">
      <c r="C867" s="12"/>
    </row>
    <row r="868">
      <c r="C868" s="12"/>
    </row>
    <row r="869">
      <c r="C869" s="12"/>
    </row>
    <row r="870">
      <c r="C870" s="12"/>
    </row>
    <row r="871">
      <c r="C871" s="12"/>
    </row>
    <row r="872">
      <c r="C872" s="12"/>
    </row>
    <row r="873">
      <c r="C873" s="12"/>
    </row>
    <row r="874">
      <c r="C874" s="12"/>
    </row>
    <row r="875">
      <c r="C875" s="12"/>
    </row>
    <row r="876">
      <c r="C876" s="12"/>
    </row>
    <row r="877">
      <c r="C877" s="12"/>
    </row>
    <row r="878">
      <c r="C878" s="12"/>
    </row>
    <row r="879">
      <c r="C879" s="12"/>
    </row>
    <row r="880">
      <c r="C880" s="12"/>
    </row>
    <row r="881">
      <c r="C881" s="12"/>
    </row>
    <row r="882">
      <c r="C882" s="12"/>
    </row>
    <row r="883">
      <c r="C883" s="12"/>
    </row>
    <row r="884">
      <c r="C884" s="12"/>
    </row>
    <row r="885">
      <c r="C885" s="12"/>
    </row>
    <row r="886">
      <c r="C886" s="12"/>
    </row>
    <row r="887">
      <c r="C887" s="12"/>
    </row>
    <row r="888">
      <c r="C888" s="12"/>
    </row>
    <row r="889">
      <c r="C889" s="12"/>
    </row>
    <row r="890">
      <c r="C890" s="12"/>
    </row>
    <row r="891">
      <c r="C891" s="12"/>
    </row>
    <row r="892">
      <c r="C892" s="12"/>
    </row>
    <row r="893">
      <c r="C893" s="12"/>
    </row>
    <row r="894">
      <c r="C894" s="12"/>
    </row>
    <row r="895">
      <c r="C895" s="12"/>
    </row>
    <row r="896">
      <c r="C896" s="12"/>
    </row>
    <row r="897">
      <c r="C897" s="12"/>
    </row>
    <row r="898">
      <c r="C898" s="12"/>
    </row>
    <row r="899">
      <c r="C899" s="12"/>
    </row>
    <row r="900">
      <c r="C900" s="12"/>
    </row>
    <row r="901">
      <c r="C901" s="12"/>
    </row>
    <row r="902">
      <c r="C902" s="12"/>
    </row>
    <row r="903">
      <c r="C903" s="12"/>
    </row>
    <row r="904">
      <c r="C904" s="12"/>
    </row>
    <row r="905">
      <c r="C905" s="12"/>
    </row>
    <row r="906">
      <c r="C906" s="12"/>
    </row>
    <row r="907">
      <c r="C907" s="12"/>
    </row>
    <row r="908">
      <c r="C908" s="12"/>
    </row>
    <row r="909">
      <c r="C909" s="12"/>
    </row>
    <row r="910">
      <c r="C910" s="12"/>
    </row>
    <row r="911">
      <c r="C911" s="12"/>
    </row>
    <row r="912">
      <c r="C912" s="12"/>
    </row>
    <row r="913">
      <c r="C913" s="12"/>
    </row>
    <row r="914">
      <c r="C914" s="12"/>
    </row>
    <row r="915">
      <c r="C915" s="12"/>
    </row>
    <row r="916">
      <c r="C916" s="12"/>
    </row>
    <row r="917">
      <c r="C917" s="12"/>
    </row>
    <row r="918">
      <c r="C918" s="12"/>
    </row>
    <row r="919">
      <c r="C919" s="12"/>
    </row>
    <row r="920">
      <c r="C920" s="12"/>
    </row>
    <row r="921">
      <c r="C921" s="12"/>
    </row>
    <row r="922">
      <c r="C922" s="12"/>
    </row>
    <row r="923">
      <c r="C923" s="12"/>
    </row>
    <row r="924">
      <c r="C924" s="12"/>
    </row>
    <row r="925">
      <c r="C925" s="12"/>
    </row>
    <row r="926">
      <c r="C926" s="12"/>
    </row>
    <row r="927">
      <c r="C927" s="12"/>
    </row>
    <row r="928">
      <c r="C928" s="12"/>
    </row>
    <row r="929">
      <c r="C929" s="12"/>
    </row>
    <row r="930">
      <c r="C930" s="12"/>
    </row>
    <row r="931">
      <c r="C931" s="12"/>
    </row>
    <row r="932">
      <c r="C932" s="12"/>
    </row>
    <row r="933">
      <c r="C933" s="12"/>
    </row>
    <row r="934">
      <c r="C934" s="12"/>
    </row>
    <row r="935">
      <c r="C935" s="12"/>
    </row>
    <row r="936">
      <c r="C936" s="12"/>
    </row>
    <row r="937">
      <c r="C937" s="12"/>
    </row>
    <row r="938">
      <c r="C938" s="12"/>
    </row>
    <row r="939">
      <c r="C939" s="12"/>
    </row>
    <row r="940">
      <c r="C940" s="12"/>
    </row>
    <row r="941">
      <c r="C941" s="12"/>
    </row>
    <row r="942">
      <c r="C942" s="12"/>
    </row>
    <row r="943">
      <c r="C943" s="12"/>
    </row>
    <row r="944">
      <c r="C944" s="12"/>
    </row>
    <row r="945">
      <c r="C945" s="12"/>
    </row>
    <row r="946">
      <c r="C946" s="12"/>
    </row>
    <row r="947">
      <c r="C947" s="12"/>
    </row>
    <row r="948">
      <c r="C948" s="12"/>
    </row>
    <row r="949">
      <c r="C949" s="12"/>
    </row>
    <row r="950">
      <c r="C950" s="12"/>
    </row>
    <row r="951">
      <c r="C951" s="12"/>
    </row>
    <row r="952">
      <c r="C952" s="12"/>
    </row>
    <row r="953">
      <c r="C953" s="12"/>
    </row>
    <row r="954">
      <c r="C954" s="12"/>
    </row>
    <row r="955">
      <c r="C955" s="12"/>
    </row>
    <row r="956">
      <c r="C956" s="12"/>
    </row>
    <row r="957">
      <c r="C957" s="12"/>
    </row>
    <row r="958">
      <c r="C958" s="12"/>
    </row>
    <row r="959">
      <c r="C959" s="12"/>
    </row>
    <row r="960">
      <c r="C960" s="12"/>
    </row>
    <row r="961">
      <c r="C961" s="12"/>
    </row>
    <row r="962">
      <c r="C962" s="12"/>
    </row>
    <row r="963">
      <c r="C963" s="12"/>
    </row>
    <row r="964">
      <c r="C964" s="12"/>
    </row>
    <row r="965">
      <c r="C965" s="12"/>
    </row>
    <row r="966">
      <c r="C966" s="12"/>
    </row>
    <row r="967">
      <c r="C967" s="12"/>
    </row>
    <row r="968">
      <c r="C968" s="12"/>
    </row>
    <row r="969">
      <c r="C969" s="12"/>
    </row>
    <row r="970">
      <c r="C970" s="12"/>
    </row>
    <row r="971">
      <c r="C971" s="12"/>
    </row>
    <row r="972">
      <c r="C972" s="12"/>
    </row>
    <row r="973">
      <c r="C973" s="12"/>
    </row>
    <row r="974">
      <c r="C974" s="12"/>
    </row>
    <row r="975">
      <c r="C975" s="12"/>
    </row>
    <row r="976">
      <c r="C976" s="12"/>
    </row>
    <row r="977">
      <c r="C977" s="12"/>
    </row>
    <row r="978">
      <c r="C978" s="12"/>
    </row>
    <row r="979">
      <c r="C979" s="12"/>
    </row>
    <row r="980">
      <c r="C980" s="12"/>
    </row>
    <row r="981">
      <c r="C981" s="12"/>
    </row>
    <row r="982">
      <c r="C982" s="12"/>
    </row>
    <row r="983">
      <c r="C983" s="12"/>
    </row>
    <row r="984">
      <c r="C984" s="12"/>
    </row>
    <row r="985">
      <c r="C985" s="12"/>
    </row>
    <row r="986">
      <c r="C986" s="12"/>
    </row>
    <row r="987">
      <c r="C987" s="12"/>
    </row>
    <row r="988">
      <c r="C988" s="12"/>
    </row>
    <row r="989">
      <c r="C989" s="12"/>
    </row>
    <row r="990">
      <c r="C990" s="12"/>
    </row>
    <row r="991">
      <c r="C991" s="12"/>
    </row>
    <row r="992">
      <c r="C992" s="12"/>
    </row>
    <row r="993">
      <c r="C993" s="12"/>
    </row>
    <row r="994">
      <c r="C994" s="12"/>
    </row>
    <row r="995">
      <c r="C995" s="12"/>
    </row>
    <row r="996">
      <c r="C996" s="12"/>
    </row>
    <row r="997">
      <c r="C997" s="12"/>
    </row>
    <row r="998">
      <c r="C998" s="12"/>
    </row>
    <row r="999">
      <c r="C999" s="12"/>
    </row>
    <row r="1000">
      <c r="C1000" s="1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9.5"/>
    <col customWidth="1" min="5" max="5" width="15.13"/>
  </cols>
  <sheetData>
    <row r="1">
      <c r="A1" s="10">
        <v>1.0</v>
      </c>
      <c r="B1" s="10" t="s">
        <v>13</v>
      </c>
      <c r="C1" s="11" t="s">
        <v>253</v>
      </c>
      <c r="E1" s="10" t="s">
        <v>254</v>
      </c>
      <c r="F1" s="10" t="s">
        <v>255</v>
      </c>
      <c r="G1" s="10" t="s">
        <v>256</v>
      </c>
      <c r="H1" s="10" t="s">
        <v>257</v>
      </c>
      <c r="I1" s="10" t="s">
        <v>144</v>
      </c>
    </row>
    <row r="2">
      <c r="A2" s="10">
        <v>2.0</v>
      </c>
      <c r="B2" s="10" t="s">
        <v>13</v>
      </c>
      <c r="C2" s="11" t="s">
        <v>253</v>
      </c>
      <c r="E2" s="14">
        <f t="array" ref="E2">SUM(COUNTIFS(C1:C210,{"*email*","*e-mail*","*letters*","*petitions*"}))</f>
        <v>155</v>
      </c>
      <c r="F2" s="14">
        <f t="array" ref="F2">SUM(COUNTIFS(C1:C210,{"*whatsapp*","*signal*","*telegram*","*messaging*","*text*"}))</f>
        <v>65</v>
      </c>
      <c r="G2" s="14">
        <f t="array" ref="G2">SUM(COUNTIFS(C1:C210,{"*facebook*","*instagram*","*x*","*linkedin*","*bluesky*","*twitter*"}))</f>
        <v>53</v>
      </c>
      <c r="H2" s="14">
        <f t="array" ref="H2">SUM(COUNTIFS(C1:C210,{"*zoom*","*video*","*meetings*","*offline*"}))</f>
        <v>18</v>
      </c>
      <c r="I2" s="14">
        <f t="array" ref="I2">SUM(COUNTIFS(C1:C210,{"*slack*","*mattermost*","*discord*"}))</f>
        <v>3</v>
      </c>
    </row>
    <row r="3">
      <c r="A3" s="10">
        <v>3.0</v>
      </c>
      <c r="B3" s="10" t="s">
        <v>13</v>
      </c>
      <c r="C3" s="11" t="s">
        <v>258</v>
      </c>
    </row>
    <row r="4">
      <c r="A4" s="10">
        <v>4.0</v>
      </c>
      <c r="B4" s="10" t="s">
        <v>13</v>
      </c>
      <c r="C4" s="11" t="s">
        <v>259</v>
      </c>
    </row>
    <row r="5">
      <c r="A5" s="10">
        <v>5.0</v>
      </c>
      <c r="B5" s="10" t="s">
        <v>13</v>
      </c>
      <c r="C5" s="11" t="s">
        <v>260</v>
      </c>
    </row>
    <row r="6">
      <c r="A6" s="10">
        <v>6.0</v>
      </c>
      <c r="B6" s="10" t="s">
        <v>13</v>
      </c>
      <c r="C6" s="11" t="s">
        <v>261</v>
      </c>
    </row>
    <row r="7">
      <c r="A7" s="10">
        <v>7.0</v>
      </c>
      <c r="B7" s="10" t="s">
        <v>13</v>
      </c>
      <c r="C7" s="11" t="s">
        <v>262</v>
      </c>
    </row>
    <row r="8">
      <c r="A8" s="10">
        <v>8.0</v>
      </c>
      <c r="B8" s="10" t="s">
        <v>13</v>
      </c>
      <c r="C8" s="11" t="s">
        <v>263</v>
      </c>
    </row>
    <row r="9">
      <c r="A9" s="10">
        <v>9.0</v>
      </c>
      <c r="B9" s="10" t="s">
        <v>13</v>
      </c>
      <c r="C9" s="11" t="s">
        <v>264</v>
      </c>
    </row>
    <row r="10">
      <c r="A10" s="10">
        <v>10.0</v>
      </c>
      <c r="B10" s="10" t="s">
        <v>13</v>
      </c>
      <c r="C10" s="11" t="s">
        <v>265</v>
      </c>
    </row>
    <row r="11">
      <c r="A11" s="10">
        <v>11.0</v>
      </c>
      <c r="B11" s="10" t="s">
        <v>13</v>
      </c>
      <c r="C11" s="11" t="s">
        <v>266</v>
      </c>
    </row>
    <row r="12">
      <c r="A12" s="10">
        <v>12.0</v>
      </c>
      <c r="B12" s="10" t="s">
        <v>13</v>
      </c>
      <c r="C12" s="11" t="s">
        <v>267</v>
      </c>
    </row>
    <row r="13">
      <c r="A13" s="10">
        <v>13.0</v>
      </c>
      <c r="B13" s="10" t="s">
        <v>13</v>
      </c>
      <c r="C13" s="11" t="s">
        <v>3</v>
      </c>
    </row>
    <row r="14">
      <c r="A14" s="10">
        <v>14.0</v>
      </c>
      <c r="B14" s="10" t="s">
        <v>13</v>
      </c>
      <c r="C14" s="11" t="s">
        <v>268</v>
      </c>
    </row>
    <row r="15">
      <c r="A15" s="10">
        <v>15.0</v>
      </c>
      <c r="B15" s="10" t="s">
        <v>13</v>
      </c>
      <c r="C15" s="11" t="s">
        <v>269</v>
      </c>
    </row>
    <row r="16">
      <c r="A16" s="10">
        <v>16.0</v>
      </c>
      <c r="B16" s="10" t="s">
        <v>13</v>
      </c>
      <c r="C16" s="11" t="s">
        <v>3</v>
      </c>
    </row>
    <row r="17">
      <c r="A17" s="10">
        <v>17.0</v>
      </c>
      <c r="B17" s="10" t="s">
        <v>13</v>
      </c>
      <c r="C17" s="11" t="s">
        <v>3</v>
      </c>
    </row>
    <row r="18">
      <c r="A18" s="10">
        <v>18.0</v>
      </c>
      <c r="B18" s="10" t="s">
        <v>13</v>
      </c>
      <c r="C18" s="11" t="s">
        <v>181</v>
      </c>
    </row>
    <row r="19">
      <c r="A19" s="10">
        <v>19.0</v>
      </c>
      <c r="B19" s="10" t="s">
        <v>13</v>
      </c>
      <c r="C19" s="11" t="s">
        <v>270</v>
      </c>
    </row>
    <row r="20">
      <c r="A20" s="10">
        <v>20.0</v>
      </c>
      <c r="B20" s="10" t="s">
        <v>13</v>
      </c>
      <c r="C20" s="11" t="s">
        <v>253</v>
      </c>
    </row>
    <row r="21">
      <c r="A21" s="10">
        <v>21.0</v>
      </c>
      <c r="B21" s="10" t="s">
        <v>13</v>
      </c>
      <c r="C21" s="11" t="s">
        <v>3</v>
      </c>
    </row>
    <row r="22">
      <c r="A22" s="10">
        <v>22.0</v>
      </c>
      <c r="B22" s="10" t="s">
        <v>13</v>
      </c>
      <c r="C22" s="11" t="s">
        <v>204</v>
      </c>
    </row>
    <row r="23">
      <c r="A23" s="10">
        <v>23.0</v>
      </c>
      <c r="B23" s="10" t="s">
        <v>13</v>
      </c>
      <c r="C23" s="11" t="s">
        <v>271</v>
      </c>
    </row>
    <row r="24">
      <c r="A24" s="10">
        <v>24.0</v>
      </c>
      <c r="B24" s="10" t="s">
        <v>13</v>
      </c>
      <c r="C24" s="11" t="s">
        <v>272</v>
      </c>
    </row>
    <row r="25">
      <c r="A25" s="10">
        <v>25.0</v>
      </c>
      <c r="B25" s="10" t="s">
        <v>13</v>
      </c>
      <c r="C25" s="11" t="s">
        <v>273</v>
      </c>
    </row>
    <row r="26">
      <c r="A26" s="10">
        <v>26.0</v>
      </c>
      <c r="B26" s="10" t="s">
        <v>13</v>
      </c>
      <c r="C26" s="11" t="s">
        <v>274</v>
      </c>
    </row>
    <row r="27">
      <c r="A27" s="10">
        <v>27.0</v>
      </c>
      <c r="B27" s="10" t="s">
        <v>13</v>
      </c>
      <c r="C27" s="11" t="s">
        <v>275</v>
      </c>
    </row>
    <row r="28">
      <c r="A28" s="10">
        <v>28.0</v>
      </c>
      <c r="B28" s="10" t="s">
        <v>13</v>
      </c>
      <c r="C28" s="11" t="s">
        <v>276</v>
      </c>
    </row>
    <row r="29">
      <c r="A29" s="10">
        <v>29.0</v>
      </c>
      <c r="B29" s="10" t="s">
        <v>13</v>
      </c>
      <c r="C29" s="11" t="s">
        <v>277</v>
      </c>
    </row>
    <row r="30">
      <c r="A30" s="10">
        <v>30.0</v>
      </c>
      <c r="B30" s="10" t="s">
        <v>13</v>
      </c>
      <c r="C30" s="11" t="s">
        <v>278</v>
      </c>
    </row>
    <row r="31">
      <c r="A31" s="10">
        <v>31.0</v>
      </c>
      <c r="B31" s="10" t="s">
        <v>13</v>
      </c>
      <c r="C31" s="11" t="s">
        <v>279</v>
      </c>
    </row>
    <row r="32">
      <c r="A32" s="10">
        <v>32.0</v>
      </c>
      <c r="B32" s="10" t="s">
        <v>13</v>
      </c>
      <c r="C32" s="11" t="s">
        <v>280</v>
      </c>
    </row>
    <row r="33">
      <c r="A33" s="10">
        <v>33.0</v>
      </c>
      <c r="B33" s="10" t="s">
        <v>13</v>
      </c>
      <c r="C33" s="11" t="s">
        <v>281</v>
      </c>
    </row>
    <row r="34">
      <c r="A34" s="10">
        <v>34.0</v>
      </c>
      <c r="B34" s="10" t="s">
        <v>13</v>
      </c>
      <c r="C34" s="11" t="s">
        <v>282</v>
      </c>
    </row>
    <row r="35">
      <c r="A35" s="10">
        <v>35.0</v>
      </c>
      <c r="B35" s="10" t="s">
        <v>13</v>
      </c>
      <c r="C35" s="11" t="s">
        <v>283</v>
      </c>
    </row>
    <row r="36">
      <c r="A36" s="10">
        <v>36.0</v>
      </c>
      <c r="B36" s="10" t="s">
        <v>13</v>
      </c>
      <c r="C36" s="11" t="s">
        <v>284</v>
      </c>
    </row>
    <row r="37">
      <c r="A37" s="10">
        <v>37.0</v>
      </c>
      <c r="B37" s="10" t="s">
        <v>13</v>
      </c>
      <c r="C37" s="11" t="s">
        <v>285</v>
      </c>
    </row>
    <row r="38">
      <c r="A38" s="10">
        <v>38.0</v>
      </c>
      <c r="B38" s="10" t="s">
        <v>13</v>
      </c>
      <c r="C38" s="11" t="s">
        <v>286</v>
      </c>
    </row>
    <row r="39">
      <c r="A39" s="10">
        <v>39.0</v>
      </c>
      <c r="B39" s="10" t="s">
        <v>13</v>
      </c>
      <c r="C39" s="11" t="s">
        <v>287</v>
      </c>
    </row>
    <row r="40">
      <c r="A40" s="10">
        <v>40.0</v>
      </c>
      <c r="B40" s="10" t="s">
        <v>13</v>
      </c>
      <c r="C40" s="11" t="s">
        <v>288</v>
      </c>
    </row>
    <row r="41">
      <c r="A41" s="10">
        <v>41.0</v>
      </c>
      <c r="B41" s="10" t="s">
        <v>13</v>
      </c>
      <c r="C41" s="11" t="s">
        <v>289</v>
      </c>
    </row>
    <row r="42">
      <c r="A42" s="10">
        <v>42.0</v>
      </c>
      <c r="B42" s="10" t="s">
        <v>13</v>
      </c>
      <c r="C42" s="11" t="s">
        <v>290</v>
      </c>
    </row>
    <row r="43">
      <c r="A43" s="10">
        <v>43.0</v>
      </c>
      <c r="B43" s="10" t="s">
        <v>13</v>
      </c>
      <c r="C43" s="11" t="s">
        <v>284</v>
      </c>
    </row>
    <row r="44">
      <c r="A44" s="10">
        <v>44.0</v>
      </c>
      <c r="B44" s="10" t="s">
        <v>13</v>
      </c>
      <c r="C44" s="11" t="s">
        <v>291</v>
      </c>
    </row>
    <row r="45">
      <c r="A45" s="10">
        <v>45.0</v>
      </c>
      <c r="B45" s="10" t="s">
        <v>13</v>
      </c>
      <c r="C45" s="11" t="s">
        <v>292</v>
      </c>
    </row>
    <row r="46">
      <c r="A46" s="10">
        <v>46.0</v>
      </c>
      <c r="B46" s="10" t="s">
        <v>13</v>
      </c>
      <c r="C46" s="11" t="s">
        <v>3</v>
      </c>
    </row>
    <row r="47">
      <c r="A47" s="10">
        <v>47.0</v>
      </c>
      <c r="B47" s="10" t="s">
        <v>13</v>
      </c>
      <c r="C47" s="11" t="s">
        <v>170</v>
      </c>
    </row>
    <row r="48">
      <c r="A48" s="10">
        <v>48.0</v>
      </c>
      <c r="B48" s="10" t="s">
        <v>13</v>
      </c>
      <c r="C48" s="11" t="s">
        <v>253</v>
      </c>
    </row>
    <row r="49">
      <c r="A49" s="10">
        <v>49.0</v>
      </c>
      <c r="B49" s="10" t="s">
        <v>13</v>
      </c>
      <c r="C49" s="11" t="s">
        <v>293</v>
      </c>
    </row>
    <row r="50">
      <c r="A50" s="10">
        <v>50.0</v>
      </c>
      <c r="B50" s="10" t="s">
        <v>13</v>
      </c>
      <c r="C50" s="11" t="s">
        <v>294</v>
      </c>
    </row>
    <row r="51">
      <c r="A51" s="10">
        <v>51.0</v>
      </c>
      <c r="B51" s="10" t="s">
        <v>13</v>
      </c>
      <c r="C51" s="11" t="s">
        <v>295</v>
      </c>
    </row>
    <row r="52">
      <c r="A52" s="10">
        <v>52.0</v>
      </c>
      <c r="B52" s="10" t="s">
        <v>13</v>
      </c>
      <c r="C52" s="11" t="s">
        <v>3</v>
      </c>
    </row>
    <row r="53">
      <c r="A53" s="10">
        <v>53.0</v>
      </c>
      <c r="B53" s="10" t="s">
        <v>13</v>
      </c>
      <c r="C53" s="11" t="s">
        <v>296</v>
      </c>
    </row>
    <row r="54">
      <c r="A54" s="10">
        <v>54.0</v>
      </c>
      <c r="B54" s="10" t="s">
        <v>13</v>
      </c>
      <c r="C54" s="11" t="s">
        <v>3</v>
      </c>
    </row>
    <row r="55">
      <c r="A55" s="10">
        <v>55.0</v>
      </c>
      <c r="B55" s="10" t="s">
        <v>13</v>
      </c>
      <c r="C55" s="11" t="s">
        <v>297</v>
      </c>
    </row>
    <row r="56">
      <c r="A56" s="10">
        <v>56.0</v>
      </c>
      <c r="B56" s="10" t="s">
        <v>13</v>
      </c>
      <c r="C56" s="11" t="s">
        <v>298</v>
      </c>
    </row>
    <row r="57">
      <c r="A57" s="10">
        <v>57.0</v>
      </c>
      <c r="B57" s="10" t="s">
        <v>13</v>
      </c>
      <c r="C57" s="11" t="s">
        <v>299</v>
      </c>
    </row>
    <row r="58">
      <c r="A58" s="10">
        <v>58.0</v>
      </c>
      <c r="B58" s="10" t="s">
        <v>13</v>
      </c>
      <c r="C58" s="11" t="s">
        <v>300</v>
      </c>
    </row>
    <row r="59">
      <c r="A59" s="10">
        <v>59.0</v>
      </c>
      <c r="B59" s="10" t="s">
        <v>13</v>
      </c>
      <c r="C59" s="11" t="s">
        <v>301</v>
      </c>
    </row>
    <row r="60">
      <c r="A60" s="10">
        <v>60.0</v>
      </c>
      <c r="B60" s="10" t="s">
        <v>13</v>
      </c>
      <c r="C60" s="11" t="s">
        <v>3</v>
      </c>
    </row>
    <row r="61">
      <c r="A61" s="10">
        <v>61.0</v>
      </c>
      <c r="B61" s="10" t="s">
        <v>13</v>
      </c>
      <c r="C61" s="11" t="s">
        <v>302</v>
      </c>
    </row>
    <row r="62">
      <c r="A62" s="10">
        <v>62.0</v>
      </c>
      <c r="B62" s="10" t="s">
        <v>13</v>
      </c>
      <c r="C62" s="11" t="s">
        <v>303</v>
      </c>
    </row>
    <row r="63">
      <c r="A63" s="10">
        <v>63.0</v>
      </c>
      <c r="B63" s="10" t="s">
        <v>13</v>
      </c>
      <c r="C63" s="11" t="s">
        <v>3</v>
      </c>
    </row>
    <row r="64">
      <c r="A64" s="10">
        <v>64.0</v>
      </c>
      <c r="B64" s="10" t="s">
        <v>13</v>
      </c>
      <c r="C64" s="11" t="s">
        <v>253</v>
      </c>
    </row>
    <row r="65">
      <c r="A65" s="10">
        <v>65.0</v>
      </c>
      <c r="B65" s="10" t="s">
        <v>13</v>
      </c>
      <c r="C65" s="11" t="s">
        <v>304</v>
      </c>
    </row>
    <row r="66">
      <c r="A66" s="10">
        <v>66.0</v>
      </c>
      <c r="B66" s="10" t="s">
        <v>13</v>
      </c>
      <c r="C66" s="11" t="s">
        <v>3</v>
      </c>
    </row>
    <row r="67">
      <c r="A67" s="10">
        <v>67.0</v>
      </c>
      <c r="B67" s="10" t="s">
        <v>13</v>
      </c>
      <c r="C67" s="11" t="s">
        <v>305</v>
      </c>
    </row>
    <row r="68">
      <c r="A68" s="10">
        <v>68.0</v>
      </c>
      <c r="B68" s="10" t="s">
        <v>13</v>
      </c>
      <c r="C68" s="11" t="s">
        <v>306</v>
      </c>
    </row>
    <row r="69">
      <c r="A69" s="10">
        <v>69.0</v>
      </c>
      <c r="B69" s="10" t="s">
        <v>13</v>
      </c>
      <c r="C69" s="11" t="s">
        <v>3</v>
      </c>
    </row>
    <row r="70">
      <c r="A70" s="10">
        <v>70.0</v>
      </c>
      <c r="B70" s="10" t="s">
        <v>13</v>
      </c>
      <c r="C70" s="11" t="s">
        <v>307</v>
      </c>
    </row>
    <row r="71">
      <c r="A71" s="10">
        <v>71.0</v>
      </c>
      <c r="B71" s="10" t="s">
        <v>13</v>
      </c>
      <c r="C71" s="11" t="s">
        <v>308</v>
      </c>
    </row>
    <row r="72">
      <c r="A72" s="10">
        <v>72.0</v>
      </c>
      <c r="B72" s="10" t="s">
        <v>13</v>
      </c>
      <c r="C72" s="11" t="s">
        <v>309</v>
      </c>
    </row>
    <row r="73">
      <c r="A73" s="10">
        <v>73.0</v>
      </c>
      <c r="B73" s="10" t="s">
        <v>13</v>
      </c>
      <c r="C73" s="11" t="s">
        <v>310</v>
      </c>
    </row>
    <row r="74">
      <c r="A74" s="10">
        <v>74.0</v>
      </c>
      <c r="B74" s="10" t="s">
        <v>13</v>
      </c>
      <c r="C74" s="11" t="s">
        <v>3</v>
      </c>
    </row>
    <row r="75">
      <c r="A75" s="10">
        <v>75.0</v>
      </c>
      <c r="B75" s="10" t="s">
        <v>13</v>
      </c>
      <c r="C75" s="11" t="s">
        <v>3</v>
      </c>
    </row>
    <row r="76">
      <c r="A76" s="10">
        <v>76.0</v>
      </c>
      <c r="B76" s="10" t="s">
        <v>13</v>
      </c>
      <c r="C76" s="11" t="s">
        <v>311</v>
      </c>
    </row>
    <row r="77">
      <c r="A77" s="10">
        <v>77.0</v>
      </c>
      <c r="B77" s="10" t="s">
        <v>13</v>
      </c>
      <c r="C77" s="11" t="s">
        <v>312</v>
      </c>
    </row>
    <row r="78">
      <c r="A78" s="10">
        <v>78.0</v>
      </c>
      <c r="B78" s="10" t="s">
        <v>13</v>
      </c>
      <c r="C78" s="11" t="s">
        <v>313</v>
      </c>
    </row>
    <row r="79">
      <c r="A79" s="10">
        <v>79.0</v>
      </c>
      <c r="B79" s="10" t="s">
        <v>13</v>
      </c>
      <c r="C79" s="11" t="s">
        <v>314</v>
      </c>
    </row>
    <row r="80">
      <c r="A80" s="10">
        <v>80.0</v>
      </c>
      <c r="B80" s="10" t="s">
        <v>13</v>
      </c>
      <c r="C80" s="11" t="s">
        <v>253</v>
      </c>
    </row>
    <row r="81">
      <c r="A81" s="10">
        <v>81.0</v>
      </c>
      <c r="B81" s="10" t="s">
        <v>13</v>
      </c>
      <c r="C81" s="11" t="s">
        <v>315</v>
      </c>
    </row>
    <row r="82">
      <c r="A82" s="10">
        <v>82.0</v>
      </c>
      <c r="B82" s="10" t="s">
        <v>13</v>
      </c>
      <c r="C82" s="11" t="s">
        <v>316</v>
      </c>
    </row>
    <row r="83">
      <c r="A83" s="10">
        <v>83.0</v>
      </c>
      <c r="B83" s="10" t="s">
        <v>13</v>
      </c>
      <c r="C83" s="11" t="s">
        <v>317</v>
      </c>
    </row>
    <row r="84">
      <c r="A84" s="10">
        <v>84.0</v>
      </c>
      <c r="B84" s="10" t="s">
        <v>13</v>
      </c>
      <c r="C84" s="11" t="s">
        <v>3</v>
      </c>
    </row>
    <row r="85">
      <c r="A85" s="10">
        <v>85.0</v>
      </c>
      <c r="B85" s="10" t="s">
        <v>13</v>
      </c>
      <c r="C85" s="11" t="s">
        <v>318</v>
      </c>
    </row>
    <row r="86">
      <c r="A86" s="10">
        <v>86.0</v>
      </c>
      <c r="B86" s="10" t="s">
        <v>13</v>
      </c>
      <c r="C86" s="11" t="s">
        <v>319</v>
      </c>
    </row>
    <row r="87">
      <c r="A87" s="10">
        <v>87.0</v>
      </c>
      <c r="B87" s="10" t="s">
        <v>13</v>
      </c>
      <c r="C87" s="11" t="s">
        <v>3</v>
      </c>
    </row>
    <row r="88">
      <c r="A88" s="10">
        <v>88.0</v>
      </c>
      <c r="B88" s="10" t="s">
        <v>13</v>
      </c>
      <c r="C88" s="11" t="s">
        <v>204</v>
      </c>
    </row>
    <row r="89">
      <c r="A89" s="10">
        <v>89.0</v>
      </c>
      <c r="B89" s="10" t="s">
        <v>13</v>
      </c>
      <c r="C89" s="11" t="s">
        <v>3</v>
      </c>
    </row>
    <row r="90">
      <c r="A90" s="10">
        <v>90.0</v>
      </c>
      <c r="B90" s="10" t="s">
        <v>13</v>
      </c>
      <c r="C90" s="11" t="s">
        <v>3</v>
      </c>
    </row>
    <row r="91">
      <c r="A91" s="10">
        <v>91.0</v>
      </c>
      <c r="B91" s="10" t="s">
        <v>13</v>
      </c>
      <c r="C91" s="11" t="s">
        <v>320</v>
      </c>
    </row>
    <row r="92">
      <c r="A92" s="10">
        <v>92.0</v>
      </c>
      <c r="B92" s="10" t="s">
        <v>13</v>
      </c>
      <c r="C92" s="11" t="s">
        <v>321</v>
      </c>
    </row>
    <row r="93">
      <c r="A93" s="10">
        <v>93.0</v>
      </c>
      <c r="B93" s="10" t="s">
        <v>13</v>
      </c>
      <c r="C93" s="11" t="s">
        <v>322</v>
      </c>
    </row>
    <row r="94">
      <c r="A94" s="10">
        <v>94.0</v>
      </c>
      <c r="B94" s="10" t="s">
        <v>13</v>
      </c>
      <c r="C94" s="11" t="s">
        <v>323</v>
      </c>
    </row>
    <row r="95">
      <c r="A95" s="10">
        <v>95.0</v>
      </c>
      <c r="B95" s="10" t="s">
        <v>13</v>
      </c>
      <c r="C95" s="11" t="s">
        <v>324</v>
      </c>
    </row>
    <row r="96">
      <c r="A96" s="10">
        <v>96.0</v>
      </c>
      <c r="B96" s="10" t="s">
        <v>13</v>
      </c>
      <c r="C96" s="11" t="s">
        <v>325</v>
      </c>
    </row>
    <row r="97">
      <c r="A97" s="10">
        <v>97.0</v>
      </c>
      <c r="B97" s="10" t="s">
        <v>13</v>
      </c>
      <c r="C97" s="11" t="s">
        <v>326</v>
      </c>
    </row>
    <row r="98">
      <c r="A98" s="10">
        <v>98.0</v>
      </c>
      <c r="B98" s="10" t="s">
        <v>13</v>
      </c>
      <c r="C98" s="11" t="s">
        <v>263</v>
      </c>
    </row>
    <row r="99">
      <c r="A99" s="10">
        <v>99.0</v>
      </c>
      <c r="B99" s="10" t="s">
        <v>13</v>
      </c>
      <c r="C99" s="11" t="s">
        <v>327</v>
      </c>
    </row>
    <row r="100">
      <c r="A100" s="10">
        <v>100.0</v>
      </c>
      <c r="B100" s="10" t="s">
        <v>13</v>
      </c>
      <c r="C100" s="11" t="s">
        <v>328</v>
      </c>
    </row>
    <row r="101">
      <c r="A101" s="10">
        <v>101.0</v>
      </c>
      <c r="B101" s="10" t="s">
        <v>13</v>
      </c>
      <c r="C101" s="11" t="s">
        <v>3</v>
      </c>
    </row>
    <row r="102">
      <c r="A102" s="10">
        <v>102.0</v>
      </c>
      <c r="B102" s="10" t="s">
        <v>13</v>
      </c>
      <c r="C102" s="11" t="s">
        <v>170</v>
      </c>
    </row>
    <row r="103">
      <c r="A103" s="10">
        <v>103.0</v>
      </c>
      <c r="B103" s="10" t="s">
        <v>13</v>
      </c>
      <c r="C103" s="11" t="s">
        <v>3</v>
      </c>
    </row>
    <row r="104">
      <c r="A104" s="10">
        <v>104.0</v>
      </c>
      <c r="B104" s="10" t="s">
        <v>13</v>
      </c>
      <c r="C104" s="11" t="s">
        <v>3</v>
      </c>
    </row>
    <row r="105">
      <c r="A105" s="10">
        <v>105.0</v>
      </c>
      <c r="B105" s="10" t="s">
        <v>13</v>
      </c>
      <c r="C105" s="11" t="s">
        <v>329</v>
      </c>
    </row>
    <row r="106">
      <c r="A106" s="10">
        <v>106.0</v>
      </c>
      <c r="B106" s="10" t="s">
        <v>13</v>
      </c>
      <c r="C106" s="11" t="s">
        <v>330</v>
      </c>
    </row>
    <row r="107">
      <c r="A107" s="10">
        <v>107.0</v>
      </c>
      <c r="B107" s="10" t="s">
        <v>13</v>
      </c>
      <c r="C107" s="11" t="s">
        <v>3</v>
      </c>
    </row>
    <row r="108">
      <c r="A108" s="10">
        <v>108.0</v>
      </c>
      <c r="B108" s="10" t="s">
        <v>13</v>
      </c>
      <c r="C108" s="11" t="s">
        <v>181</v>
      </c>
    </row>
    <row r="109">
      <c r="A109" s="10">
        <v>109.0</v>
      </c>
      <c r="B109" s="10" t="s">
        <v>13</v>
      </c>
      <c r="C109" s="11" t="s">
        <v>331</v>
      </c>
    </row>
    <row r="110">
      <c r="A110" s="10">
        <v>110.0</v>
      </c>
      <c r="B110" s="10" t="s">
        <v>13</v>
      </c>
      <c r="C110" s="11" t="s">
        <v>332</v>
      </c>
    </row>
    <row r="111">
      <c r="A111" s="10">
        <v>111.0</v>
      </c>
      <c r="B111" s="10" t="s">
        <v>13</v>
      </c>
      <c r="C111" s="11" t="s">
        <v>307</v>
      </c>
    </row>
    <row r="112">
      <c r="A112" s="10">
        <v>112.0</v>
      </c>
      <c r="B112" s="10" t="s">
        <v>13</v>
      </c>
      <c r="C112" s="11" t="s">
        <v>148</v>
      </c>
    </row>
    <row r="113">
      <c r="A113" s="10">
        <v>113.0</v>
      </c>
      <c r="B113" s="10" t="s">
        <v>13</v>
      </c>
      <c r="C113" s="11" t="s">
        <v>333</v>
      </c>
    </row>
    <row r="114">
      <c r="A114" s="10">
        <v>114.0</v>
      </c>
      <c r="B114" s="10" t="s">
        <v>13</v>
      </c>
      <c r="C114" s="11" t="s">
        <v>170</v>
      </c>
    </row>
    <row r="115">
      <c r="A115" s="10">
        <v>115.0</v>
      </c>
      <c r="B115" s="10" t="s">
        <v>13</v>
      </c>
      <c r="C115" s="11" t="s">
        <v>334</v>
      </c>
    </row>
    <row r="116">
      <c r="A116" s="10">
        <v>116.0</v>
      </c>
      <c r="B116" s="10" t="s">
        <v>13</v>
      </c>
      <c r="C116" s="11" t="s">
        <v>3</v>
      </c>
    </row>
    <row r="117">
      <c r="A117" s="10">
        <v>117.0</v>
      </c>
      <c r="B117" s="10" t="s">
        <v>13</v>
      </c>
      <c r="C117" s="11" t="s">
        <v>335</v>
      </c>
    </row>
    <row r="118">
      <c r="A118" s="10">
        <v>118.0</v>
      </c>
      <c r="B118" s="10" t="s">
        <v>13</v>
      </c>
      <c r="C118" s="11" t="s">
        <v>336</v>
      </c>
    </row>
    <row r="119">
      <c r="A119" s="10">
        <v>119.0</v>
      </c>
      <c r="B119" s="10" t="s">
        <v>13</v>
      </c>
      <c r="C119" s="11" t="s">
        <v>337</v>
      </c>
    </row>
    <row r="120">
      <c r="A120" s="10">
        <v>120.0</v>
      </c>
      <c r="B120" s="10" t="s">
        <v>13</v>
      </c>
      <c r="C120" s="11" t="s">
        <v>338</v>
      </c>
    </row>
    <row r="121">
      <c r="A121" s="10">
        <v>121.0</v>
      </c>
      <c r="B121" s="10" t="s">
        <v>13</v>
      </c>
      <c r="C121" s="11" t="s">
        <v>253</v>
      </c>
    </row>
    <row r="122">
      <c r="A122" s="10">
        <v>122.0</v>
      </c>
      <c r="B122" s="10" t="s">
        <v>13</v>
      </c>
      <c r="C122" s="11" t="s">
        <v>3</v>
      </c>
    </row>
    <row r="123">
      <c r="A123" s="10">
        <v>123.0</v>
      </c>
      <c r="B123" s="10" t="s">
        <v>13</v>
      </c>
      <c r="C123" s="11" t="s">
        <v>339</v>
      </c>
    </row>
    <row r="124">
      <c r="A124" s="10">
        <v>124.0</v>
      </c>
      <c r="B124" s="10" t="s">
        <v>13</v>
      </c>
      <c r="C124" s="11" t="s">
        <v>340</v>
      </c>
    </row>
    <row r="125">
      <c r="A125" s="10">
        <v>125.0</v>
      </c>
      <c r="B125" s="10" t="s">
        <v>13</v>
      </c>
      <c r="C125" s="11" t="s">
        <v>3</v>
      </c>
    </row>
    <row r="126">
      <c r="A126" s="10">
        <v>126.0</v>
      </c>
      <c r="B126" s="10" t="s">
        <v>13</v>
      </c>
      <c r="C126" s="11" t="s">
        <v>341</v>
      </c>
    </row>
    <row r="127">
      <c r="A127" s="10">
        <v>127.0</v>
      </c>
      <c r="B127" s="10" t="s">
        <v>13</v>
      </c>
      <c r="C127" s="11" t="s">
        <v>342</v>
      </c>
    </row>
    <row r="128">
      <c r="A128" s="10">
        <v>128.0</v>
      </c>
      <c r="B128" s="10" t="s">
        <v>13</v>
      </c>
      <c r="C128" s="11" t="s">
        <v>343</v>
      </c>
    </row>
    <row r="129">
      <c r="A129" s="10">
        <v>129.0</v>
      </c>
      <c r="B129" s="10" t="s">
        <v>13</v>
      </c>
      <c r="C129" s="11" t="s">
        <v>170</v>
      </c>
    </row>
    <row r="130">
      <c r="A130" s="10">
        <v>130.0</v>
      </c>
      <c r="B130" s="10" t="s">
        <v>13</v>
      </c>
      <c r="C130" s="11" t="s">
        <v>344</v>
      </c>
    </row>
    <row r="131">
      <c r="A131" s="10">
        <v>131.0</v>
      </c>
      <c r="B131" s="10" t="s">
        <v>13</v>
      </c>
      <c r="C131" s="11" t="s">
        <v>284</v>
      </c>
    </row>
    <row r="132">
      <c r="A132" s="10">
        <v>132.0</v>
      </c>
      <c r="B132" s="10" t="s">
        <v>13</v>
      </c>
      <c r="C132" s="11" t="s">
        <v>345</v>
      </c>
    </row>
    <row r="133">
      <c r="A133" s="10">
        <v>133.0</v>
      </c>
      <c r="B133" s="10" t="s">
        <v>13</v>
      </c>
      <c r="C133" s="11" t="s">
        <v>346</v>
      </c>
    </row>
    <row r="134">
      <c r="A134" s="10">
        <v>134.0</v>
      </c>
      <c r="B134" s="10" t="s">
        <v>13</v>
      </c>
      <c r="C134" s="11" t="s">
        <v>253</v>
      </c>
    </row>
    <row r="135">
      <c r="A135" s="10">
        <v>135.0</v>
      </c>
      <c r="B135" s="10" t="s">
        <v>13</v>
      </c>
      <c r="C135" s="11" t="s">
        <v>347</v>
      </c>
    </row>
    <row r="136">
      <c r="A136" s="10">
        <v>136.0</v>
      </c>
      <c r="B136" s="10" t="s">
        <v>13</v>
      </c>
      <c r="C136" s="11" t="s">
        <v>3</v>
      </c>
    </row>
    <row r="137">
      <c r="A137" s="10">
        <v>137.0</v>
      </c>
      <c r="B137" s="10" t="s">
        <v>13</v>
      </c>
      <c r="C137" s="11" t="s">
        <v>348</v>
      </c>
    </row>
    <row r="138">
      <c r="A138" s="10">
        <v>138.0</v>
      </c>
      <c r="B138" s="10" t="s">
        <v>13</v>
      </c>
      <c r="C138" s="11" t="s">
        <v>314</v>
      </c>
    </row>
    <row r="139">
      <c r="A139" s="10">
        <v>139.0</v>
      </c>
      <c r="B139" s="10" t="s">
        <v>13</v>
      </c>
      <c r="C139" s="11" t="s">
        <v>349</v>
      </c>
    </row>
    <row r="140">
      <c r="A140" s="10">
        <v>140.0</v>
      </c>
      <c r="B140" s="10" t="s">
        <v>13</v>
      </c>
      <c r="C140" s="11" t="s">
        <v>350</v>
      </c>
    </row>
    <row r="141">
      <c r="A141" s="10">
        <v>141.0</v>
      </c>
      <c r="B141" s="10" t="s">
        <v>13</v>
      </c>
      <c r="C141" s="11" t="s">
        <v>351</v>
      </c>
    </row>
    <row r="142">
      <c r="A142" s="10">
        <v>142.0</v>
      </c>
      <c r="B142" s="10" t="s">
        <v>13</v>
      </c>
      <c r="C142" s="11" t="s">
        <v>352</v>
      </c>
    </row>
    <row r="143">
      <c r="A143" s="10">
        <v>143.0</v>
      </c>
      <c r="B143" s="10" t="s">
        <v>13</v>
      </c>
      <c r="C143" s="11" t="s">
        <v>262</v>
      </c>
    </row>
    <row r="144">
      <c r="A144" s="10">
        <v>144.0</v>
      </c>
      <c r="B144" s="10" t="s">
        <v>13</v>
      </c>
      <c r="C144" s="11" t="s">
        <v>353</v>
      </c>
    </row>
    <row r="145">
      <c r="A145" s="10">
        <v>145.0</v>
      </c>
      <c r="B145" s="10" t="s">
        <v>13</v>
      </c>
      <c r="C145" s="11" t="s">
        <v>354</v>
      </c>
    </row>
    <row r="146">
      <c r="A146" s="10">
        <v>146.0</v>
      </c>
      <c r="B146" s="10" t="s">
        <v>13</v>
      </c>
      <c r="C146" s="11" t="s">
        <v>355</v>
      </c>
    </row>
    <row r="147">
      <c r="A147" s="10">
        <v>147.0</v>
      </c>
      <c r="B147" s="10" t="s">
        <v>13</v>
      </c>
      <c r="C147" s="11" t="s">
        <v>356</v>
      </c>
    </row>
    <row r="148">
      <c r="A148" s="10">
        <v>148.0</v>
      </c>
      <c r="B148" s="10" t="s">
        <v>13</v>
      </c>
      <c r="C148" s="11" t="s">
        <v>281</v>
      </c>
    </row>
    <row r="149">
      <c r="A149" s="10">
        <v>149.0</v>
      </c>
      <c r="B149" s="10" t="s">
        <v>13</v>
      </c>
      <c r="C149" s="11" t="s">
        <v>253</v>
      </c>
    </row>
    <row r="150">
      <c r="A150" s="10">
        <v>150.0</v>
      </c>
      <c r="B150" s="10" t="s">
        <v>13</v>
      </c>
      <c r="C150" s="11" t="s">
        <v>3</v>
      </c>
    </row>
    <row r="151">
      <c r="A151" s="10">
        <v>151.0</v>
      </c>
      <c r="B151" s="10" t="s">
        <v>13</v>
      </c>
      <c r="C151" s="11" t="s">
        <v>357</v>
      </c>
    </row>
    <row r="152">
      <c r="A152" s="10">
        <v>152.0</v>
      </c>
      <c r="B152" s="10" t="s">
        <v>13</v>
      </c>
      <c r="C152" s="11" t="s">
        <v>358</v>
      </c>
    </row>
    <row r="153">
      <c r="A153" s="10">
        <v>153.0</v>
      </c>
      <c r="B153" s="10" t="s">
        <v>13</v>
      </c>
      <c r="C153" s="11" t="s">
        <v>359</v>
      </c>
    </row>
    <row r="154">
      <c r="A154" s="10">
        <v>154.0</v>
      </c>
      <c r="B154" s="10" t="s">
        <v>13</v>
      </c>
      <c r="C154" s="11" t="s">
        <v>360</v>
      </c>
    </row>
    <row r="155">
      <c r="A155" s="10">
        <v>155.0</v>
      </c>
      <c r="B155" s="10" t="s">
        <v>13</v>
      </c>
      <c r="C155" s="11" t="s">
        <v>361</v>
      </c>
    </row>
    <row r="156">
      <c r="A156" s="10">
        <v>156.0</v>
      </c>
      <c r="B156" s="10" t="s">
        <v>13</v>
      </c>
      <c r="C156" s="11" t="s">
        <v>362</v>
      </c>
    </row>
    <row r="157">
      <c r="A157" s="10">
        <v>157.0</v>
      </c>
      <c r="B157" s="10" t="s">
        <v>13</v>
      </c>
      <c r="C157" s="11" t="s">
        <v>363</v>
      </c>
    </row>
    <row r="158">
      <c r="A158" s="10">
        <v>158.0</v>
      </c>
      <c r="B158" s="10" t="s">
        <v>13</v>
      </c>
      <c r="C158" s="11" t="s">
        <v>253</v>
      </c>
    </row>
    <row r="159">
      <c r="A159" s="10">
        <v>159.0</v>
      </c>
      <c r="B159" s="10" t="s">
        <v>13</v>
      </c>
      <c r="C159" s="11" t="s">
        <v>148</v>
      </c>
    </row>
    <row r="160">
      <c r="A160" s="10">
        <v>160.0</v>
      </c>
      <c r="B160" s="10" t="s">
        <v>13</v>
      </c>
      <c r="C160" s="11" t="s">
        <v>181</v>
      </c>
    </row>
    <row r="161">
      <c r="A161" s="10">
        <v>161.0</v>
      </c>
      <c r="B161" s="10" t="s">
        <v>13</v>
      </c>
      <c r="C161" s="11" t="s">
        <v>364</v>
      </c>
    </row>
    <row r="162">
      <c r="A162" s="10">
        <v>162.0</v>
      </c>
      <c r="B162" s="10" t="s">
        <v>13</v>
      </c>
      <c r="C162" s="11" t="s">
        <v>253</v>
      </c>
    </row>
    <row r="163">
      <c r="A163" s="10">
        <v>163.0</v>
      </c>
      <c r="B163" s="10" t="s">
        <v>13</v>
      </c>
      <c r="C163" s="11" t="s">
        <v>253</v>
      </c>
    </row>
    <row r="164">
      <c r="A164" s="10">
        <v>164.0</v>
      </c>
      <c r="B164" s="10" t="s">
        <v>13</v>
      </c>
      <c r="C164" s="11" t="s">
        <v>365</v>
      </c>
    </row>
    <row r="165">
      <c r="A165" s="10">
        <v>165.0</v>
      </c>
      <c r="B165" s="10" t="s">
        <v>13</v>
      </c>
      <c r="C165" s="11" t="s">
        <v>269</v>
      </c>
    </row>
    <row r="166">
      <c r="A166" s="10">
        <v>166.0</v>
      </c>
      <c r="B166" s="10" t="s">
        <v>13</v>
      </c>
      <c r="C166" s="11" t="s">
        <v>366</v>
      </c>
    </row>
    <row r="167">
      <c r="A167" s="10">
        <v>167.0</v>
      </c>
      <c r="B167" s="10" t="s">
        <v>13</v>
      </c>
      <c r="C167" s="11" t="s">
        <v>314</v>
      </c>
    </row>
    <row r="168">
      <c r="A168" s="10">
        <v>168.0</v>
      </c>
      <c r="B168" s="10" t="s">
        <v>13</v>
      </c>
      <c r="C168" s="11" t="s">
        <v>170</v>
      </c>
    </row>
    <row r="169">
      <c r="A169" s="10">
        <v>169.0</v>
      </c>
      <c r="B169" s="10" t="s">
        <v>13</v>
      </c>
      <c r="C169" s="11" t="s">
        <v>170</v>
      </c>
    </row>
    <row r="170">
      <c r="A170" s="10">
        <v>170.0</v>
      </c>
      <c r="B170" s="10" t="s">
        <v>13</v>
      </c>
      <c r="C170" s="11" t="s">
        <v>253</v>
      </c>
    </row>
    <row r="171">
      <c r="A171" s="10">
        <v>171.0</v>
      </c>
      <c r="B171" s="10" t="s">
        <v>13</v>
      </c>
      <c r="C171" s="11" t="s">
        <v>367</v>
      </c>
    </row>
    <row r="172">
      <c r="A172" s="10">
        <v>172.0</v>
      </c>
      <c r="B172" s="10" t="s">
        <v>13</v>
      </c>
      <c r="C172" s="11" t="s">
        <v>368</v>
      </c>
    </row>
    <row r="173">
      <c r="A173" s="10">
        <v>173.0</v>
      </c>
      <c r="B173" s="10" t="s">
        <v>13</v>
      </c>
      <c r="C173" s="11" t="s">
        <v>369</v>
      </c>
    </row>
    <row r="174">
      <c r="A174" s="10">
        <v>174.0</v>
      </c>
      <c r="B174" s="10" t="s">
        <v>13</v>
      </c>
      <c r="C174" s="11" t="s">
        <v>370</v>
      </c>
    </row>
    <row r="175">
      <c r="A175" s="10">
        <v>175.0</v>
      </c>
      <c r="B175" s="10" t="s">
        <v>13</v>
      </c>
      <c r="C175" s="11" t="s">
        <v>371</v>
      </c>
    </row>
    <row r="176">
      <c r="A176" s="10">
        <v>176.0</v>
      </c>
      <c r="B176" s="10" t="s">
        <v>13</v>
      </c>
      <c r="C176" s="11" t="s">
        <v>372</v>
      </c>
    </row>
    <row r="177">
      <c r="A177" s="10">
        <v>177.0</v>
      </c>
      <c r="B177" s="10" t="s">
        <v>13</v>
      </c>
      <c r="C177" s="11" t="s">
        <v>3</v>
      </c>
    </row>
    <row r="178">
      <c r="A178" s="10">
        <v>178.0</v>
      </c>
      <c r="B178" s="10" t="s">
        <v>13</v>
      </c>
      <c r="C178" s="11" t="s">
        <v>373</v>
      </c>
    </row>
    <row r="179">
      <c r="A179" s="10">
        <v>179.0</v>
      </c>
      <c r="B179" s="10" t="s">
        <v>13</v>
      </c>
      <c r="C179" s="11" t="s">
        <v>3</v>
      </c>
    </row>
    <row r="180">
      <c r="A180" s="10">
        <v>180.0</v>
      </c>
      <c r="B180" s="10" t="s">
        <v>13</v>
      </c>
      <c r="C180" s="11" t="s">
        <v>374</v>
      </c>
    </row>
    <row r="181">
      <c r="A181" s="10">
        <v>181.0</v>
      </c>
      <c r="B181" s="10" t="s">
        <v>13</v>
      </c>
      <c r="C181" s="11" t="s">
        <v>375</v>
      </c>
    </row>
    <row r="182">
      <c r="A182" s="10">
        <v>182.0</v>
      </c>
      <c r="B182" s="10" t="s">
        <v>13</v>
      </c>
      <c r="C182" s="11" t="s">
        <v>376</v>
      </c>
    </row>
    <row r="183">
      <c r="A183" s="10">
        <v>183.0</v>
      </c>
      <c r="B183" s="10" t="s">
        <v>13</v>
      </c>
      <c r="C183" s="11" t="s">
        <v>377</v>
      </c>
    </row>
    <row r="184">
      <c r="A184" s="10">
        <v>184.0</v>
      </c>
      <c r="B184" s="10" t="s">
        <v>13</v>
      </c>
      <c r="C184" s="11" t="s">
        <v>378</v>
      </c>
    </row>
    <row r="185">
      <c r="A185" s="10">
        <v>185.0</v>
      </c>
      <c r="B185" s="10" t="s">
        <v>13</v>
      </c>
      <c r="C185" s="11" t="s">
        <v>379</v>
      </c>
    </row>
    <row r="186">
      <c r="A186" s="10">
        <v>186.0</v>
      </c>
      <c r="B186" s="10" t="s">
        <v>13</v>
      </c>
      <c r="C186" s="11" t="s">
        <v>253</v>
      </c>
    </row>
    <row r="187">
      <c r="A187" s="10">
        <v>187.0</v>
      </c>
      <c r="B187" s="10" t="s">
        <v>13</v>
      </c>
      <c r="C187" s="11" t="s">
        <v>380</v>
      </c>
    </row>
    <row r="188">
      <c r="A188" s="10">
        <v>188.0</v>
      </c>
      <c r="B188" s="10" t="s">
        <v>13</v>
      </c>
      <c r="C188" s="11" t="s">
        <v>381</v>
      </c>
    </row>
    <row r="189">
      <c r="A189" s="10">
        <v>189.0</v>
      </c>
      <c r="B189" s="10" t="s">
        <v>13</v>
      </c>
      <c r="C189" s="11" t="s">
        <v>312</v>
      </c>
    </row>
    <row r="190">
      <c r="A190" s="10">
        <v>190.0</v>
      </c>
      <c r="B190" s="10" t="s">
        <v>13</v>
      </c>
      <c r="C190" s="11" t="s">
        <v>3</v>
      </c>
    </row>
    <row r="191">
      <c r="A191" s="10">
        <v>191.0</v>
      </c>
      <c r="B191" s="10" t="s">
        <v>13</v>
      </c>
      <c r="C191" s="11" t="s">
        <v>382</v>
      </c>
    </row>
    <row r="192">
      <c r="A192" s="10">
        <v>192.0</v>
      </c>
      <c r="B192" s="10" t="s">
        <v>13</v>
      </c>
      <c r="C192" s="11" t="s">
        <v>383</v>
      </c>
    </row>
    <row r="193">
      <c r="A193" s="10">
        <v>193.0</v>
      </c>
      <c r="B193" s="10" t="s">
        <v>13</v>
      </c>
      <c r="C193" s="11" t="s">
        <v>384</v>
      </c>
    </row>
    <row r="194">
      <c r="A194" s="10">
        <v>194.0</v>
      </c>
      <c r="B194" s="10" t="s">
        <v>13</v>
      </c>
      <c r="C194" s="11" t="s">
        <v>385</v>
      </c>
    </row>
    <row r="195">
      <c r="A195" s="10">
        <v>195.0</v>
      </c>
      <c r="B195" s="10" t="s">
        <v>13</v>
      </c>
      <c r="C195" s="11" t="s">
        <v>386</v>
      </c>
    </row>
    <row r="196">
      <c r="A196" s="10">
        <v>196.0</v>
      </c>
      <c r="B196" s="10" t="s">
        <v>13</v>
      </c>
      <c r="C196" s="11" t="s">
        <v>387</v>
      </c>
    </row>
    <row r="197">
      <c r="A197" s="10">
        <v>197.0</v>
      </c>
      <c r="B197" s="10" t="s">
        <v>13</v>
      </c>
      <c r="C197" s="11" t="s">
        <v>323</v>
      </c>
    </row>
    <row r="198">
      <c r="A198" s="10">
        <v>198.0</v>
      </c>
      <c r="B198" s="10" t="s">
        <v>13</v>
      </c>
      <c r="C198" s="11" t="s">
        <v>388</v>
      </c>
    </row>
    <row r="199">
      <c r="A199" s="10">
        <v>199.0</v>
      </c>
      <c r="B199" s="10" t="s">
        <v>13</v>
      </c>
      <c r="C199" s="11" t="s">
        <v>389</v>
      </c>
    </row>
    <row r="200">
      <c r="A200" s="10">
        <v>200.0</v>
      </c>
      <c r="B200" s="10" t="s">
        <v>13</v>
      </c>
      <c r="C200" s="11" t="s">
        <v>390</v>
      </c>
    </row>
    <row r="201">
      <c r="A201" s="10">
        <v>201.0</v>
      </c>
      <c r="B201" s="10" t="s">
        <v>13</v>
      </c>
      <c r="C201" s="11" t="s">
        <v>391</v>
      </c>
    </row>
    <row r="202">
      <c r="A202" s="10">
        <v>202.0</v>
      </c>
      <c r="B202" s="10" t="s">
        <v>13</v>
      </c>
      <c r="C202" s="11" t="s">
        <v>392</v>
      </c>
    </row>
    <row r="203">
      <c r="A203" s="10">
        <v>203.0</v>
      </c>
      <c r="B203" s="10" t="s">
        <v>13</v>
      </c>
      <c r="C203" s="11" t="s">
        <v>170</v>
      </c>
    </row>
    <row r="204">
      <c r="A204" s="10">
        <v>204.0</v>
      </c>
      <c r="B204" s="10" t="s">
        <v>13</v>
      </c>
      <c r="C204" s="11" t="s">
        <v>393</v>
      </c>
    </row>
    <row r="205">
      <c r="A205" s="10">
        <v>205.0</v>
      </c>
      <c r="B205" s="10" t="s">
        <v>13</v>
      </c>
      <c r="C205" s="11" t="s">
        <v>394</v>
      </c>
    </row>
    <row r="206">
      <c r="A206" s="10">
        <v>206.0</v>
      </c>
      <c r="B206" s="10" t="s">
        <v>13</v>
      </c>
      <c r="C206" s="11" t="s">
        <v>269</v>
      </c>
    </row>
    <row r="207">
      <c r="A207" s="10">
        <v>207.0</v>
      </c>
      <c r="B207" s="10" t="s">
        <v>13</v>
      </c>
      <c r="C207" s="11" t="s">
        <v>395</v>
      </c>
    </row>
    <row r="208">
      <c r="A208" s="10">
        <v>208.0</v>
      </c>
      <c r="B208" s="10" t="s">
        <v>13</v>
      </c>
      <c r="C208" s="11" t="s">
        <v>396</v>
      </c>
    </row>
    <row r="209">
      <c r="A209" s="10">
        <v>209.0</v>
      </c>
      <c r="B209" s="10" t="s">
        <v>13</v>
      </c>
      <c r="C209" s="11" t="s">
        <v>397</v>
      </c>
    </row>
    <row r="210">
      <c r="C210" s="12"/>
    </row>
    <row r="211">
      <c r="C211" s="12"/>
    </row>
    <row r="212">
      <c r="C212" s="12"/>
    </row>
    <row r="213">
      <c r="C213" s="12"/>
    </row>
    <row r="214">
      <c r="C214" s="12"/>
    </row>
    <row r="215">
      <c r="C215" s="12"/>
    </row>
    <row r="216">
      <c r="C216" s="12"/>
    </row>
    <row r="217">
      <c r="C217" s="12"/>
    </row>
    <row r="218">
      <c r="C218" s="12"/>
    </row>
    <row r="219">
      <c r="C219" s="12"/>
    </row>
    <row r="220">
      <c r="C220" s="12"/>
    </row>
    <row r="221">
      <c r="C221" s="12"/>
    </row>
    <row r="222">
      <c r="C222" s="12"/>
    </row>
    <row r="223">
      <c r="C223" s="12"/>
    </row>
    <row r="224">
      <c r="C224" s="12"/>
    </row>
    <row r="225">
      <c r="C225" s="12"/>
    </row>
    <row r="226">
      <c r="C226" s="12"/>
    </row>
    <row r="227">
      <c r="C227" s="12"/>
    </row>
    <row r="228">
      <c r="C228" s="12"/>
    </row>
    <row r="229">
      <c r="C229" s="12"/>
    </row>
    <row r="230">
      <c r="C230" s="12"/>
    </row>
    <row r="231">
      <c r="C231" s="12"/>
    </row>
    <row r="232">
      <c r="C232" s="12"/>
    </row>
    <row r="233">
      <c r="C233" s="12"/>
    </row>
    <row r="234">
      <c r="C234" s="12"/>
    </row>
    <row r="235">
      <c r="C235" s="12"/>
    </row>
    <row r="236">
      <c r="C236" s="12"/>
    </row>
    <row r="237">
      <c r="C237" s="12"/>
    </row>
    <row r="238">
      <c r="C238" s="12"/>
    </row>
    <row r="239">
      <c r="C239" s="12"/>
    </row>
    <row r="240">
      <c r="C240" s="12"/>
    </row>
    <row r="241">
      <c r="C241" s="12"/>
    </row>
    <row r="242">
      <c r="C242" s="12"/>
    </row>
    <row r="243">
      <c r="C243" s="12"/>
    </row>
    <row r="244">
      <c r="C244" s="12"/>
    </row>
    <row r="245">
      <c r="C245" s="12"/>
    </row>
    <row r="246">
      <c r="C246" s="12"/>
    </row>
    <row r="247">
      <c r="C247" s="12"/>
    </row>
    <row r="248">
      <c r="C248" s="12"/>
    </row>
    <row r="249">
      <c r="C249" s="12"/>
    </row>
    <row r="250">
      <c r="C250" s="12"/>
    </row>
    <row r="251">
      <c r="C251" s="12"/>
    </row>
    <row r="252">
      <c r="C252" s="12"/>
    </row>
    <row r="253">
      <c r="C253" s="12"/>
    </row>
    <row r="254">
      <c r="C254" s="12"/>
    </row>
    <row r="255">
      <c r="C255" s="12"/>
    </row>
    <row r="256">
      <c r="C256" s="12"/>
    </row>
    <row r="257">
      <c r="C257" s="12"/>
    </row>
    <row r="258">
      <c r="C258" s="12"/>
    </row>
    <row r="259">
      <c r="C259" s="12"/>
    </row>
    <row r="260">
      <c r="C260" s="12"/>
    </row>
    <row r="261">
      <c r="C261" s="12"/>
    </row>
    <row r="262">
      <c r="C262" s="12"/>
    </row>
    <row r="263">
      <c r="C263" s="12"/>
    </row>
    <row r="264">
      <c r="C264" s="12"/>
    </row>
    <row r="265">
      <c r="C265" s="12"/>
    </row>
    <row r="266">
      <c r="C266" s="12"/>
    </row>
    <row r="267">
      <c r="C267" s="12"/>
    </row>
    <row r="268">
      <c r="C268" s="12"/>
    </row>
    <row r="269">
      <c r="C269" s="12"/>
    </row>
    <row r="270">
      <c r="C270" s="12"/>
    </row>
    <row r="271">
      <c r="C271" s="12"/>
    </row>
    <row r="272">
      <c r="C272" s="12"/>
    </row>
    <row r="273">
      <c r="C273" s="12"/>
    </row>
    <row r="274">
      <c r="C274" s="12"/>
    </row>
    <row r="275">
      <c r="C275" s="12"/>
    </row>
    <row r="276">
      <c r="C276" s="12"/>
    </row>
    <row r="277">
      <c r="C277" s="12"/>
    </row>
    <row r="278">
      <c r="C278" s="12"/>
    </row>
    <row r="279">
      <c r="C279" s="12"/>
    </row>
    <row r="280">
      <c r="C280" s="12"/>
    </row>
    <row r="281">
      <c r="C281" s="12"/>
    </row>
    <row r="282">
      <c r="C282" s="12"/>
    </row>
    <row r="283">
      <c r="C283" s="12"/>
    </row>
    <row r="284">
      <c r="C284" s="12"/>
    </row>
    <row r="285">
      <c r="C285" s="12"/>
    </row>
    <row r="286">
      <c r="C286" s="12"/>
    </row>
    <row r="287">
      <c r="C287" s="12"/>
    </row>
    <row r="288">
      <c r="C288" s="12"/>
    </row>
    <row r="289">
      <c r="C289" s="12"/>
    </row>
    <row r="290">
      <c r="C290" s="12"/>
    </row>
    <row r="291">
      <c r="C291" s="12"/>
    </row>
    <row r="292">
      <c r="C292" s="12"/>
    </row>
    <row r="293">
      <c r="C293" s="12"/>
    </row>
    <row r="294">
      <c r="C294" s="12"/>
    </row>
    <row r="295">
      <c r="C295" s="12"/>
    </row>
    <row r="296">
      <c r="C296" s="12"/>
    </row>
    <row r="297">
      <c r="C297" s="12"/>
    </row>
    <row r="298">
      <c r="C298" s="12"/>
    </row>
    <row r="299">
      <c r="C299" s="12"/>
    </row>
    <row r="300">
      <c r="C300" s="12"/>
    </row>
    <row r="301">
      <c r="C301" s="12"/>
    </row>
    <row r="302">
      <c r="C302" s="12"/>
    </row>
    <row r="303">
      <c r="C303" s="12"/>
    </row>
    <row r="304">
      <c r="C304" s="12"/>
    </row>
    <row r="305">
      <c r="C305" s="12"/>
    </row>
    <row r="306">
      <c r="C306" s="12"/>
    </row>
    <row r="307">
      <c r="C307" s="12"/>
    </row>
    <row r="308">
      <c r="C308" s="12"/>
    </row>
    <row r="309">
      <c r="C309" s="12"/>
    </row>
    <row r="310">
      <c r="C310" s="12"/>
    </row>
    <row r="311">
      <c r="C311" s="12"/>
    </row>
    <row r="312">
      <c r="C312" s="12"/>
    </row>
    <row r="313">
      <c r="C313" s="12"/>
    </row>
    <row r="314">
      <c r="C314" s="12"/>
    </row>
    <row r="315">
      <c r="C315" s="12"/>
    </row>
    <row r="316">
      <c r="C316" s="12"/>
    </row>
    <row r="317">
      <c r="C317" s="12"/>
    </row>
    <row r="318">
      <c r="C318" s="12"/>
    </row>
    <row r="319">
      <c r="C319" s="12"/>
    </row>
    <row r="320">
      <c r="C320" s="12"/>
    </row>
    <row r="321">
      <c r="C321" s="12"/>
    </row>
    <row r="322">
      <c r="C322" s="12"/>
    </row>
    <row r="323">
      <c r="C323" s="12"/>
    </row>
    <row r="324">
      <c r="C324" s="12"/>
    </row>
    <row r="325">
      <c r="C325" s="12"/>
    </row>
    <row r="326">
      <c r="C326" s="12"/>
    </row>
    <row r="327">
      <c r="C327" s="12"/>
    </row>
    <row r="328">
      <c r="C328" s="12"/>
    </row>
    <row r="329">
      <c r="C329" s="12"/>
    </row>
    <row r="330">
      <c r="C330" s="12"/>
    </row>
    <row r="331">
      <c r="C331" s="12"/>
    </row>
    <row r="332">
      <c r="C332" s="12"/>
    </row>
    <row r="333">
      <c r="C333" s="12"/>
    </row>
    <row r="334">
      <c r="C334" s="12"/>
    </row>
    <row r="335">
      <c r="C335" s="12"/>
    </row>
    <row r="336">
      <c r="C336" s="12"/>
    </row>
    <row r="337">
      <c r="C337" s="12"/>
    </row>
    <row r="338">
      <c r="C338" s="12"/>
    </row>
    <row r="339">
      <c r="C339" s="12"/>
    </row>
    <row r="340">
      <c r="C340" s="12"/>
    </row>
    <row r="341">
      <c r="C341" s="12"/>
    </row>
    <row r="342">
      <c r="C342" s="12"/>
    </row>
    <row r="343">
      <c r="C343" s="12"/>
    </row>
    <row r="344">
      <c r="C344" s="12"/>
    </row>
    <row r="345">
      <c r="C345" s="12"/>
    </row>
    <row r="346">
      <c r="C346" s="12"/>
    </row>
    <row r="347">
      <c r="C347" s="12"/>
    </row>
    <row r="348">
      <c r="C348" s="12"/>
    </row>
    <row r="349">
      <c r="C349" s="12"/>
    </row>
    <row r="350">
      <c r="C350" s="12"/>
    </row>
    <row r="351">
      <c r="C351" s="12"/>
    </row>
    <row r="352">
      <c r="C352" s="12"/>
    </row>
    <row r="353">
      <c r="C353" s="12"/>
    </row>
    <row r="354">
      <c r="C354" s="12"/>
    </row>
    <row r="355">
      <c r="C355" s="12"/>
    </row>
    <row r="356">
      <c r="C356" s="12"/>
    </row>
    <row r="357">
      <c r="C357" s="12"/>
    </row>
    <row r="358">
      <c r="C358" s="12"/>
    </row>
    <row r="359">
      <c r="C359" s="12"/>
    </row>
    <row r="360">
      <c r="C360" s="12"/>
    </row>
    <row r="361">
      <c r="C361" s="12"/>
    </row>
    <row r="362">
      <c r="C362" s="12"/>
    </row>
    <row r="363">
      <c r="C363" s="12"/>
    </row>
    <row r="364">
      <c r="C364" s="12"/>
    </row>
    <row r="365">
      <c r="C365" s="12"/>
    </row>
    <row r="366">
      <c r="C366" s="12"/>
    </row>
    <row r="367">
      <c r="C367" s="12"/>
    </row>
    <row r="368">
      <c r="C368" s="12"/>
    </row>
    <row r="369">
      <c r="C369" s="12"/>
    </row>
    <row r="370">
      <c r="C370" s="12"/>
    </row>
    <row r="371">
      <c r="C371" s="12"/>
    </row>
    <row r="372">
      <c r="C372" s="12"/>
    </row>
    <row r="373">
      <c r="C373" s="12"/>
    </row>
    <row r="374">
      <c r="C374" s="12"/>
    </row>
    <row r="375">
      <c r="C375" s="12"/>
    </row>
    <row r="376">
      <c r="C376" s="12"/>
    </row>
    <row r="377">
      <c r="C377" s="12"/>
    </row>
    <row r="378">
      <c r="C378" s="12"/>
    </row>
    <row r="379">
      <c r="C379" s="12"/>
    </row>
    <row r="380">
      <c r="C380" s="12"/>
    </row>
    <row r="381">
      <c r="C381" s="12"/>
    </row>
    <row r="382">
      <c r="C382" s="12"/>
    </row>
    <row r="383">
      <c r="C383" s="12"/>
    </row>
    <row r="384">
      <c r="C384" s="12"/>
    </row>
    <row r="385">
      <c r="C385" s="12"/>
    </row>
    <row r="386">
      <c r="C386" s="12"/>
    </row>
    <row r="387">
      <c r="C387" s="12"/>
    </row>
    <row r="388">
      <c r="C388" s="12"/>
    </row>
    <row r="389">
      <c r="C389" s="12"/>
    </row>
    <row r="390">
      <c r="C390" s="12"/>
    </row>
    <row r="391">
      <c r="C391" s="12"/>
    </row>
    <row r="392">
      <c r="C392" s="12"/>
    </row>
    <row r="393">
      <c r="C393" s="12"/>
    </row>
    <row r="394">
      <c r="C394" s="12"/>
    </row>
    <row r="395">
      <c r="C395" s="12"/>
    </row>
    <row r="396">
      <c r="C396" s="12"/>
    </row>
    <row r="397">
      <c r="C397" s="12"/>
    </row>
    <row r="398">
      <c r="C398" s="12"/>
    </row>
    <row r="399">
      <c r="C399" s="12"/>
    </row>
    <row r="400">
      <c r="C400" s="12"/>
    </row>
    <row r="401">
      <c r="C401" s="12"/>
    </row>
    <row r="402">
      <c r="C402" s="12"/>
    </row>
    <row r="403">
      <c r="C403" s="12"/>
    </row>
    <row r="404">
      <c r="C404" s="12"/>
    </row>
    <row r="405">
      <c r="C405" s="12"/>
    </row>
    <row r="406">
      <c r="C406" s="12"/>
    </row>
    <row r="407">
      <c r="C407" s="12"/>
    </row>
    <row r="408">
      <c r="C408" s="12"/>
    </row>
    <row r="409">
      <c r="C409" s="12"/>
    </row>
    <row r="410">
      <c r="C410" s="12"/>
    </row>
    <row r="411">
      <c r="C411" s="12"/>
    </row>
    <row r="412">
      <c r="C412" s="12"/>
    </row>
    <row r="413">
      <c r="C413" s="12"/>
    </row>
    <row r="414">
      <c r="C414" s="12"/>
    </row>
    <row r="415">
      <c r="C415" s="12"/>
    </row>
    <row r="416">
      <c r="C416" s="12"/>
    </row>
    <row r="417">
      <c r="C417" s="12"/>
    </row>
    <row r="418">
      <c r="C418" s="12"/>
    </row>
    <row r="419">
      <c r="C419" s="12"/>
    </row>
    <row r="420">
      <c r="C420" s="12"/>
    </row>
    <row r="421">
      <c r="C421" s="12"/>
    </row>
    <row r="422">
      <c r="C422" s="12"/>
    </row>
    <row r="423">
      <c r="C423" s="12"/>
    </row>
    <row r="424">
      <c r="C424" s="12"/>
    </row>
    <row r="425">
      <c r="C425" s="12"/>
    </row>
    <row r="426">
      <c r="C426" s="12"/>
    </row>
    <row r="427">
      <c r="C427" s="12"/>
    </row>
    <row r="428">
      <c r="C428" s="12"/>
    </row>
    <row r="429">
      <c r="C429" s="12"/>
    </row>
    <row r="430">
      <c r="C430" s="12"/>
    </row>
    <row r="431">
      <c r="C431" s="12"/>
    </row>
    <row r="432">
      <c r="C432" s="12"/>
    </row>
    <row r="433">
      <c r="C433" s="12"/>
    </row>
    <row r="434">
      <c r="C434" s="12"/>
    </row>
    <row r="435">
      <c r="C435" s="12"/>
    </row>
    <row r="436">
      <c r="C436" s="12"/>
    </row>
    <row r="437">
      <c r="C437" s="12"/>
    </row>
    <row r="438">
      <c r="C438" s="12"/>
    </row>
    <row r="439">
      <c r="C439" s="12"/>
    </row>
    <row r="440">
      <c r="C440" s="12"/>
    </row>
    <row r="441">
      <c r="C441" s="12"/>
    </row>
    <row r="442">
      <c r="C442" s="12"/>
    </row>
    <row r="443">
      <c r="C443" s="12"/>
    </row>
    <row r="444">
      <c r="C444" s="12"/>
    </row>
    <row r="445">
      <c r="C445" s="12"/>
    </row>
    <row r="446">
      <c r="C446" s="12"/>
    </row>
    <row r="447">
      <c r="C447" s="12"/>
    </row>
    <row r="448">
      <c r="C448" s="12"/>
    </row>
    <row r="449">
      <c r="C449" s="12"/>
    </row>
    <row r="450">
      <c r="C450" s="12"/>
    </row>
    <row r="451">
      <c r="C451" s="12"/>
    </row>
    <row r="452">
      <c r="C452" s="12"/>
    </row>
    <row r="453">
      <c r="C453" s="12"/>
    </row>
    <row r="454">
      <c r="C454" s="12"/>
    </row>
    <row r="455">
      <c r="C455" s="12"/>
    </row>
    <row r="456">
      <c r="C456" s="12"/>
    </row>
    <row r="457">
      <c r="C457" s="12"/>
    </row>
    <row r="458">
      <c r="C458" s="12"/>
    </row>
    <row r="459">
      <c r="C459" s="12"/>
    </row>
    <row r="460">
      <c r="C460" s="12"/>
    </row>
    <row r="461">
      <c r="C461" s="12"/>
    </row>
    <row r="462">
      <c r="C462" s="12"/>
    </row>
    <row r="463">
      <c r="C463" s="12"/>
    </row>
    <row r="464">
      <c r="C464" s="12"/>
    </row>
    <row r="465">
      <c r="C465" s="12"/>
    </row>
    <row r="466">
      <c r="C466" s="12"/>
    </row>
    <row r="467">
      <c r="C467" s="12"/>
    </row>
    <row r="468">
      <c r="C468" s="12"/>
    </row>
    <row r="469">
      <c r="C469" s="12"/>
    </row>
    <row r="470">
      <c r="C470" s="12"/>
    </row>
    <row r="471">
      <c r="C471" s="12"/>
    </row>
    <row r="472">
      <c r="C472" s="12"/>
    </row>
    <row r="473">
      <c r="C473" s="12"/>
    </row>
    <row r="474">
      <c r="C474" s="12"/>
    </row>
    <row r="475">
      <c r="C475" s="12"/>
    </row>
    <row r="476">
      <c r="C476" s="12"/>
    </row>
    <row r="477">
      <c r="C477" s="12"/>
    </row>
    <row r="478">
      <c r="C478" s="12"/>
    </row>
    <row r="479">
      <c r="C479" s="12"/>
    </row>
    <row r="480">
      <c r="C480" s="12"/>
    </row>
    <row r="481">
      <c r="C481" s="12"/>
    </row>
    <row r="482">
      <c r="C482" s="12"/>
    </row>
    <row r="483">
      <c r="C483" s="12"/>
    </row>
    <row r="484">
      <c r="C484" s="12"/>
    </row>
    <row r="485">
      <c r="C485" s="12"/>
    </row>
    <row r="486">
      <c r="C486" s="12"/>
    </row>
    <row r="487">
      <c r="C487" s="12"/>
    </row>
    <row r="488">
      <c r="C488" s="12"/>
    </row>
    <row r="489">
      <c r="C489" s="12"/>
    </row>
    <row r="490">
      <c r="C490" s="12"/>
    </row>
    <row r="491">
      <c r="C491" s="12"/>
    </row>
    <row r="492">
      <c r="C492" s="12"/>
    </row>
    <row r="493">
      <c r="C493" s="12"/>
    </row>
    <row r="494">
      <c r="C494" s="12"/>
    </row>
    <row r="495">
      <c r="C495" s="12"/>
    </row>
    <row r="496">
      <c r="C496" s="12"/>
    </row>
    <row r="497">
      <c r="C497" s="12"/>
    </row>
    <row r="498">
      <c r="C498" s="12"/>
    </row>
    <row r="499">
      <c r="C499" s="12"/>
    </row>
    <row r="500">
      <c r="C500" s="12"/>
    </row>
    <row r="501">
      <c r="C501" s="12"/>
    </row>
    <row r="502">
      <c r="C502" s="12"/>
    </row>
    <row r="503">
      <c r="C503" s="12"/>
    </row>
    <row r="504">
      <c r="C504" s="12"/>
    </row>
    <row r="505">
      <c r="C505" s="12"/>
    </row>
    <row r="506">
      <c r="C506" s="12"/>
    </row>
    <row r="507">
      <c r="C507" s="12"/>
    </row>
    <row r="508">
      <c r="C508" s="12"/>
    </row>
    <row r="509">
      <c r="C509" s="12"/>
    </row>
    <row r="510">
      <c r="C510" s="12"/>
    </row>
    <row r="511">
      <c r="C511" s="12"/>
    </row>
    <row r="512">
      <c r="C512" s="12"/>
    </row>
    <row r="513">
      <c r="C513" s="12"/>
    </row>
    <row r="514">
      <c r="C514" s="12"/>
    </row>
    <row r="515">
      <c r="C515" s="12"/>
    </row>
    <row r="516">
      <c r="C516" s="12"/>
    </row>
    <row r="517">
      <c r="C517" s="12"/>
    </row>
    <row r="518">
      <c r="C518" s="12"/>
    </row>
    <row r="519">
      <c r="C519" s="12"/>
    </row>
    <row r="520">
      <c r="C520" s="12"/>
    </row>
    <row r="521">
      <c r="C521" s="12"/>
    </row>
    <row r="522">
      <c r="C522" s="12"/>
    </row>
    <row r="523">
      <c r="C523" s="12"/>
    </row>
    <row r="524">
      <c r="C524" s="12"/>
    </row>
    <row r="525">
      <c r="C525" s="12"/>
    </row>
    <row r="526">
      <c r="C526" s="12"/>
    </row>
    <row r="527">
      <c r="C527" s="12"/>
    </row>
    <row r="528">
      <c r="C528" s="12"/>
    </row>
    <row r="529">
      <c r="C529" s="12"/>
    </row>
    <row r="530">
      <c r="C530" s="12"/>
    </row>
    <row r="531">
      <c r="C531" s="12"/>
    </row>
    <row r="532">
      <c r="C532" s="12"/>
    </row>
    <row r="533">
      <c r="C533" s="12"/>
    </row>
    <row r="534">
      <c r="C534" s="12"/>
    </row>
    <row r="535">
      <c r="C535" s="12"/>
    </row>
    <row r="536">
      <c r="C536" s="12"/>
    </row>
    <row r="537">
      <c r="C537" s="12"/>
    </row>
    <row r="538">
      <c r="C538" s="12"/>
    </row>
    <row r="539">
      <c r="C539" s="12"/>
    </row>
    <row r="540">
      <c r="C540" s="12"/>
    </row>
    <row r="541">
      <c r="C541" s="12"/>
    </row>
    <row r="542">
      <c r="C542" s="12"/>
    </row>
    <row r="543">
      <c r="C543" s="12"/>
    </row>
    <row r="544">
      <c r="C544" s="12"/>
    </row>
    <row r="545">
      <c r="C545" s="12"/>
    </row>
    <row r="546">
      <c r="C546" s="12"/>
    </row>
    <row r="547">
      <c r="C547" s="12"/>
    </row>
    <row r="548">
      <c r="C548" s="12"/>
    </row>
    <row r="549">
      <c r="C549" s="12"/>
    </row>
    <row r="550">
      <c r="C550" s="12"/>
    </row>
    <row r="551">
      <c r="C551" s="12"/>
    </row>
    <row r="552">
      <c r="C552" s="12"/>
    </row>
    <row r="553">
      <c r="C553" s="12"/>
    </row>
    <row r="554">
      <c r="C554" s="12"/>
    </row>
    <row r="555">
      <c r="C555" s="12"/>
    </row>
    <row r="556">
      <c r="C556" s="12"/>
    </row>
    <row r="557">
      <c r="C557" s="12"/>
    </row>
    <row r="558">
      <c r="C558" s="12"/>
    </row>
    <row r="559">
      <c r="C559" s="12"/>
    </row>
    <row r="560">
      <c r="C560" s="12"/>
    </row>
    <row r="561">
      <c r="C561" s="12"/>
    </row>
    <row r="562">
      <c r="C562" s="12"/>
    </row>
    <row r="563">
      <c r="C563" s="12"/>
    </row>
    <row r="564">
      <c r="C564" s="12"/>
    </row>
    <row r="565">
      <c r="C565" s="12"/>
    </row>
    <row r="566">
      <c r="C566" s="12"/>
    </row>
    <row r="567">
      <c r="C567" s="12"/>
    </row>
    <row r="568">
      <c r="C568" s="12"/>
    </row>
    <row r="569">
      <c r="C569" s="12"/>
    </row>
    <row r="570">
      <c r="C570" s="12"/>
    </row>
    <row r="571">
      <c r="C571" s="12"/>
    </row>
    <row r="572">
      <c r="C572" s="12"/>
    </row>
    <row r="573">
      <c r="C573" s="12"/>
    </row>
    <row r="574">
      <c r="C574" s="12"/>
    </row>
    <row r="575">
      <c r="C575" s="12"/>
    </row>
    <row r="576">
      <c r="C576" s="12"/>
    </row>
    <row r="577">
      <c r="C577" s="12"/>
    </row>
    <row r="578">
      <c r="C578" s="12"/>
    </row>
    <row r="579">
      <c r="C579" s="12"/>
    </row>
    <row r="580">
      <c r="C580" s="12"/>
    </row>
    <row r="581">
      <c r="C581" s="12"/>
    </row>
    <row r="582">
      <c r="C582" s="12"/>
    </row>
    <row r="583">
      <c r="C583" s="12"/>
    </row>
    <row r="584">
      <c r="C584" s="12"/>
    </row>
    <row r="585">
      <c r="C585" s="12"/>
    </row>
    <row r="586">
      <c r="C586" s="12"/>
    </row>
    <row r="587">
      <c r="C587" s="12"/>
    </row>
    <row r="588">
      <c r="C588" s="12"/>
    </row>
    <row r="589">
      <c r="C589" s="12"/>
    </row>
    <row r="590">
      <c r="C590" s="12"/>
    </row>
    <row r="591">
      <c r="C591" s="12"/>
    </row>
    <row r="592">
      <c r="C592" s="12"/>
    </row>
    <row r="593">
      <c r="C593" s="12"/>
    </row>
    <row r="594">
      <c r="C594" s="12"/>
    </row>
    <row r="595">
      <c r="C595" s="12"/>
    </row>
    <row r="596">
      <c r="C596" s="12"/>
    </row>
    <row r="597">
      <c r="C597" s="12"/>
    </row>
    <row r="598">
      <c r="C598" s="12"/>
    </row>
    <row r="599">
      <c r="C599" s="12"/>
    </row>
    <row r="600">
      <c r="C600" s="12"/>
    </row>
    <row r="601">
      <c r="C601" s="12"/>
    </row>
    <row r="602">
      <c r="C602" s="12"/>
    </row>
    <row r="603">
      <c r="C603" s="12"/>
    </row>
    <row r="604">
      <c r="C604" s="12"/>
    </row>
    <row r="605">
      <c r="C605" s="12"/>
    </row>
    <row r="606">
      <c r="C606" s="12"/>
    </row>
    <row r="607">
      <c r="C607" s="12"/>
    </row>
    <row r="608">
      <c r="C608" s="12"/>
    </row>
    <row r="609">
      <c r="C609" s="12"/>
    </row>
    <row r="610">
      <c r="C610" s="12"/>
    </row>
    <row r="611">
      <c r="C611" s="12"/>
    </row>
    <row r="612">
      <c r="C612" s="12"/>
    </row>
    <row r="613">
      <c r="C613" s="12"/>
    </row>
    <row r="614">
      <c r="C614" s="12"/>
    </row>
    <row r="615">
      <c r="C615" s="12"/>
    </row>
    <row r="616">
      <c r="C616" s="12"/>
    </row>
    <row r="617">
      <c r="C617" s="12"/>
    </row>
    <row r="618">
      <c r="C618" s="12"/>
    </row>
    <row r="619">
      <c r="C619" s="12"/>
    </row>
    <row r="620">
      <c r="C620" s="12"/>
    </row>
    <row r="621">
      <c r="C621" s="12"/>
    </row>
    <row r="622">
      <c r="C622" s="12"/>
    </row>
    <row r="623">
      <c r="C623" s="12"/>
    </row>
    <row r="624">
      <c r="C624" s="12"/>
    </row>
    <row r="625">
      <c r="C625" s="12"/>
    </row>
    <row r="626">
      <c r="C626" s="12"/>
    </row>
    <row r="627">
      <c r="C627" s="12"/>
    </row>
    <row r="628">
      <c r="C628" s="12"/>
    </row>
    <row r="629">
      <c r="C629" s="12"/>
    </row>
    <row r="630">
      <c r="C630" s="12"/>
    </row>
    <row r="631">
      <c r="C631" s="12"/>
    </row>
    <row r="632">
      <c r="C632" s="12"/>
    </row>
    <row r="633">
      <c r="C633" s="12"/>
    </row>
    <row r="634">
      <c r="C634" s="12"/>
    </row>
    <row r="635">
      <c r="C635" s="12"/>
    </row>
    <row r="636">
      <c r="C636" s="12"/>
    </row>
    <row r="637">
      <c r="C637" s="12"/>
    </row>
    <row r="638">
      <c r="C638" s="12"/>
    </row>
    <row r="639">
      <c r="C639" s="12"/>
    </row>
    <row r="640">
      <c r="C640" s="12"/>
    </row>
    <row r="641">
      <c r="C641" s="12"/>
    </row>
    <row r="642">
      <c r="C642" s="12"/>
    </row>
    <row r="643">
      <c r="C643" s="12"/>
    </row>
    <row r="644">
      <c r="C644" s="12"/>
    </row>
    <row r="645">
      <c r="C645" s="12"/>
    </row>
    <row r="646">
      <c r="C646" s="12"/>
    </row>
    <row r="647">
      <c r="C647" s="12"/>
    </row>
    <row r="648">
      <c r="C648" s="12"/>
    </row>
    <row r="649">
      <c r="C649" s="12"/>
    </row>
    <row r="650">
      <c r="C650" s="12"/>
    </row>
    <row r="651">
      <c r="C651" s="12"/>
    </row>
    <row r="652">
      <c r="C652" s="12"/>
    </row>
    <row r="653">
      <c r="C653" s="12"/>
    </row>
    <row r="654">
      <c r="C654" s="12"/>
    </row>
    <row r="655">
      <c r="C655" s="12"/>
    </row>
    <row r="656">
      <c r="C656" s="12"/>
    </row>
    <row r="657">
      <c r="C657" s="12"/>
    </row>
    <row r="658">
      <c r="C658" s="12"/>
    </row>
    <row r="659">
      <c r="C659" s="12"/>
    </row>
    <row r="660">
      <c r="C660" s="12"/>
    </row>
    <row r="661">
      <c r="C661" s="12"/>
    </row>
    <row r="662">
      <c r="C662" s="12"/>
    </row>
    <row r="663">
      <c r="C663" s="12"/>
    </row>
    <row r="664">
      <c r="C664" s="12"/>
    </row>
    <row r="665">
      <c r="C665" s="12"/>
    </row>
    <row r="666">
      <c r="C666" s="12"/>
    </row>
    <row r="667">
      <c r="C667" s="12"/>
    </row>
    <row r="668">
      <c r="C668" s="12"/>
    </row>
    <row r="669">
      <c r="C669" s="12"/>
    </row>
    <row r="670">
      <c r="C670" s="12"/>
    </row>
    <row r="671">
      <c r="C671" s="12"/>
    </row>
    <row r="672">
      <c r="C672" s="12"/>
    </row>
    <row r="673">
      <c r="C673" s="12"/>
    </row>
    <row r="674">
      <c r="C674" s="12"/>
    </row>
    <row r="675">
      <c r="C675" s="12"/>
    </row>
    <row r="676">
      <c r="C676" s="12"/>
    </row>
    <row r="677">
      <c r="C677" s="12"/>
    </row>
    <row r="678">
      <c r="C678" s="12"/>
    </row>
    <row r="679">
      <c r="C679" s="12"/>
    </row>
    <row r="680">
      <c r="C680" s="12"/>
    </row>
    <row r="681">
      <c r="C681" s="12"/>
    </row>
    <row r="682">
      <c r="C682" s="12"/>
    </row>
    <row r="683">
      <c r="C683" s="12"/>
    </row>
    <row r="684">
      <c r="C684" s="12"/>
    </row>
    <row r="685">
      <c r="C685" s="12"/>
    </row>
    <row r="686">
      <c r="C686" s="12"/>
    </row>
    <row r="687">
      <c r="C687" s="12"/>
    </row>
    <row r="688">
      <c r="C688" s="12"/>
    </row>
    <row r="689">
      <c r="C689" s="12"/>
    </row>
    <row r="690">
      <c r="C690" s="12"/>
    </row>
    <row r="691">
      <c r="C691" s="12"/>
    </row>
    <row r="692">
      <c r="C692" s="12"/>
    </row>
    <row r="693">
      <c r="C693" s="12"/>
    </row>
    <row r="694">
      <c r="C694" s="12"/>
    </row>
    <row r="695">
      <c r="C695" s="12"/>
    </row>
    <row r="696">
      <c r="C696" s="12"/>
    </row>
    <row r="697">
      <c r="C697" s="12"/>
    </row>
    <row r="698">
      <c r="C698" s="12"/>
    </row>
    <row r="699">
      <c r="C699" s="12"/>
    </row>
    <row r="700">
      <c r="C700" s="12"/>
    </row>
    <row r="701">
      <c r="C701" s="12"/>
    </row>
    <row r="702">
      <c r="C702" s="12"/>
    </row>
    <row r="703">
      <c r="C703" s="12"/>
    </row>
    <row r="704">
      <c r="C704" s="12"/>
    </row>
    <row r="705">
      <c r="C705" s="12"/>
    </row>
    <row r="706">
      <c r="C706" s="12"/>
    </row>
    <row r="707">
      <c r="C707" s="12"/>
    </row>
    <row r="708">
      <c r="C708" s="12"/>
    </row>
    <row r="709">
      <c r="C709" s="12"/>
    </row>
    <row r="710">
      <c r="C710" s="12"/>
    </row>
    <row r="711">
      <c r="C711" s="12"/>
    </row>
    <row r="712">
      <c r="C712" s="12"/>
    </row>
    <row r="713">
      <c r="C713" s="12"/>
    </row>
    <row r="714">
      <c r="C714" s="12"/>
    </row>
    <row r="715">
      <c r="C715" s="12"/>
    </row>
    <row r="716">
      <c r="C716" s="12"/>
    </row>
    <row r="717">
      <c r="C717" s="12"/>
    </row>
    <row r="718">
      <c r="C718" s="12"/>
    </row>
    <row r="719">
      <c r="C719" s="12"/>
    </row>
    <row r="720">
      <c r="C720" s="12"/>
    </row>
    <row r="721">
      <c r="C721" s="12"/>
    </row>
    <row r="722">
      <c r="C722" s="12"/>
    </row>
    <row r="723">
      <c r="C723" s="12"/>
    </row>
    <row r="724">
      <c r="C724" s="12"/>
    </row>
    <row r="725">
      <c r="C725" s="12"/>
    </row>
    <row r="726">
      <c r="C726" s="12"/>
    </row>
    <row r="727">
      <c r="C727" s="12"/>
    </row>
    <row r="728">
      <c r="C728" s="12"/>
    </row>
    <row r="729">
      <c r="C729" s="12"/>
    </row>
    <row r="730">
      <c r="C730" s="12"/>
    </row>
    <row r="731">
      <c r="C731" s="12"/>
    </row>
    <row r="732">
      <c r="C732" s="12"/>
    </row>
    <row r="733">
      <c r="C733" s="12"/>
    </row>
    <row r="734">
      <c r="C734" s="12"/>
    </row>
    <row r="735">
      <c r="C735" s="12"/>
    </row>
    <row r="736">
      <c r="C736" s="12"/>
    </row>
    <row r="737">
      <c r="C737" s="12"/>
    </row>
    <row r="738">
      <c r="C738" s="12"/>
    </row>
    <row r="739">
      <c r="C739" s="12"/>
    </row>
    <row r="740">
      <c r="C740" s="12"/>
    </row>
    <row r="741">
      <c r="C741" s="12"/>
    </row>
    <row r="742">
      <c r="C742" s="12"/>
    </row>
    <row r="743">
      <c r="C743" s="12"/>
    </row>
    <row r="744">
      <c r="C744" s="12"/>
    </row>
    <row r="745">
      <c r="C745" s="12"/>
    </row>
    <row r="746">
      <c r="C746" s="12"/>
    </row>
    <row r="747">
      <c r="C747" s="12"/>
    </row>
    <row r="748">
      <c r="C748" s="12"/>
    </row>
    <row r="749">
      <c r="C749" s="12"/>
    </row>
    <row r="750">
      <c r="C750" s="12"/>
    </row>
    <row r="751">
      <c r="C751" s="12"/>
    </row>
    <row r="752">
      <c r="C752" s="12"/>
    </row>
    <row r="753">
      <c r="C753" s="12"/>
    </row>
    <row r="754">
      <c r="C754" s="12"/>
    </row>
    <row r="755">
      <c r="C755" s="12"/>
    </row>
    <row r="756">
      <c r="C756" s="12"/>
    </row>
    <row r="757">
      <c r="C757" s="12"/>
    </row>
    <row r="758">
      <c r="C758" s="12"/>
    </row>
    <row r="759">
      <c r="C759" s="12"/>
    </row>
    <row r="760">
      <c r="C760" s="12"/>
    </row>
    <row r="761">
      <c r="C761" s="12"/>
    </row>
    <row r="762">
      <c r="C762" s="12"/>
    </row>
    <row r="763">
      <c r="C763" s="12"/>
    </row>
    <row r="764">
      <c r="C764" s="12"/>
    </row>
    <row r="765">
      <c r="C765" s="12"/>
    </row>
    <row r="766">
      <c r="C766" s="12"/>
    </row>
    <row r="767">
      <c r="C767" s="12"/>
    </row>
    <row r="768">
      <c r="C768" s="12"/>
    </row>
    <row r="769">
      <c r="C769" s="12"/>
    </row>
    <row r="770">
      <c r="C770" s="12"/>
    </row>
    <row r="771">
      <c r="C771" s="12"/>
    </row>
    <row r="772">
      <c r="C772" s="12"/>
    </row>
    <row r="773">
      <c r="C773" s="12"/>
    </row>
    <row r="774">
      <c r="C774" s="12"/>
    </row>
    <row r="775">
      <c r="C775" s="12"/>
    </row>
    <row r="776">
      <c r="C776" s="12"/>
    </row>
    <row r="777">
      <c r="C777" s="12"/>
    </row>
    <row r="778">
      <c r="C778" s="12"/>
    </row>
    <row r="779">
      <c r="C779" s="12"/>
    </row>
    <row r="780">
      <c r="C780" s="12"/>
    </row>
    <row r="781">
      <c r="C781" s="12"/>
    </row>
    <row r="782">
      <c r="C782" s="12"/>
    </row>
    <row r="783">
      <c r="C783" s="12"/>
    </row>
    <row r="784">
      <c r="C784" s="12"/>
    </row>
    <row r="785">
      <c r="C785" s="12"/>
    </row>
    <row r="786">
      <c r="C786" s="12"/>
    </row>
    <row r="787">
      <c r="C787" s="12"/>
    </row>
    <row r="788">
      <c r="C788" s="12"/>
    </row>
    <row r="789">
      <c r="C789" s="12"/>
    </row>
    <row r="790">
      <c r="C790" s="12"/>
    </row>
    <row r="791">
      <c r="C791" s="12"/>
    </row>
    <row r="792">
      <c r="C792" s="12"/>
    </row>
    <row r="793">
      <c r="C793" s="12"/>
    </row>
    <row r="794">
      <c r="C794" s="12"/>
    </row>
    <row r="795">
      <c r="C795" s="12"/>
    </row>
    <row r="796">
      <c r="C796" s="12"/>
    </row>
    <row r="797">
      <c r="C797" s="12"/>
    </row>
    <row r="798">
      <c r="C798" s="12"/>
    </row>
    <row r="799">
      <c r="C799" s="12"/>
    </row>
    <row r="800">
      <c r="C800" s="12"/>
    </row>
    <row r="801">
      <c r="C801" s="12"/>
    </row>
    <row r="802">
      <c r="C802" s="12"/>
    </row>
    <row r="803">
      <c r="C803" s="12"/>
    </row>
    <row r="804">
      <c r="C804" s="12"/>
    </row>
    <row r="805">
      <c r="C805" s="12"/>
    </row>
    <row r="806">
      <c r="C806" s="12"/>
    </row>
    <row r="807">
      <c r="C807" s="12"/>
    </row>
    <row r="808">
      <c r="C808" s="12"/>
    </row>
    <row r="809">
      <c r="C809" s="12"/>
    </row>
    <row r="810">
      <c r="C810" s="12"/>
    </row>
    <row r="811">
      <c r="C811" s="12"/>
    </row>
    <row r="812">
      <c r="C812" s="12"/>
    </row>
    <row r="813">
      <c r="C813" s="12"/>
    </row>
    <row r="814">
      <c r="C814" s="12"/>
    </row>
    <row r="815">
      <c r="C815" s="12"/>
    </row>
    <row r="816">
      <c r="C816" s="12"/>
    </row>
    <row r="817">
      <c r="C817" s="12"/>
    </row>
    <row r="818">
      <c r="C818" s="12"/>
    </row>
    <row r="819">
      <c r="C819" s="12"/>
    </row>
    <row r="820">
      <c r="C820" s="12"/>
    </row>
    <row r="821">
      <c r="C821" s="12"/>
    </row>
    <row r="822">
      <c r="C822" s="12"/>
    </row>
    <row r="823">
      <c r="C823" s="12"/>
    </row>
    <row r="824">
      <c r="C824" s="12"/>
    </row>
    <row r="825">
      <c r="C825" s="12"/>
    </row>
    <row r="826">
      <c r="C826" s="12"/>
    </row>
    <row r="827">
      <c r="C827" s="12"/>
    </row>
    <row r="828">
      <c r="C828" s="12"/>
    </row>
    <row r="829">
      <c r="C829" s="12"/>
    </row>
    <row r="830">
      <c r="C830" s="12"/>
    </row>
    <row r="831">
      <c r="C831" s="12"/>
    </row>
    <row r="832">
      <c r="C832" s="12"/>
    </row>
    <row r="833">
      <c r="C833" s="12"/>
    </row>
    <row r="834">
      <c r="C834" s="12"/>
    </row>
    <row r="835">
      <c r="C835" s="12"/>
    </row>
    <row r="836">
      <c r="C836" s="12"/>
    </row>
    <row r="837">
      <c r="C837" s="12"/>
    </row>
    <row r="838">
      <c r="C838" s="12"/>
    </row>
    <row r="839">
      <c r="C839" s="12"/>
    </row>
    <row r="840">
      <c r="C840" s="12"/>
    </row>
    <row r="841">
      <c r="C841" s="12"/>
    </row>
    <row r="842">
      <c r="C842" s="12"/>
    </row>
    <row r="843">
      <c r="C843" s="12"/>
    </row>
    <row r="844">
      <c r="C844" s="12"/>
    </row>
    <row r="845">
      <c r="C845" s="12"/>
    </row>
    <row r="846">
      <c r="C846" s="12"/>
    </row>
    <row r="847">
      <c r="C847" s="12"/>
    </row>
    <row r="848">
      <c r="C848" s="12"/>
    </row>
    <row r="849">
      <c r="C849" s="12"/>
    </row>
    <row r="850">
      <c r="C850" s="12"/>
    </row>
    <row r="851">
      <c r="C851" s="12"/>
    </row>
    <row r="852">
      <c r="C852" s="12"/>
    </row>
    <row r="853">
      <c r="C853" s="12"/>
    </row>
    <row r="854">
      <c r="C854" s="12"/>
    </row>
    <row r="855">
      <c r="C855" s="12"/>
    </row>
    <row r="856">
      <c r="C856" s="12"/>
    </row>
    <row r="857">
      <c r="C857" s="12"/>
    </row>
    <row r="858">
      <c r="C858" s="12"/>
    </row>
    <row r="859">
      <c r="C859" s="12"/>
    </row>
    <row r="860">
      <c r="C860" s="12"/>
    </row>
    <row r="861">
      <c r="C861" s="12"/>
    </row>
    <row r="862">
      <c r="C862" s="12"/>
    </row>
    <row r="863">
      <c r="C863" s="12"/>
    </row>
    <row r="864">
      <c r="C864" s="12"/>
    </row>
    <row r="865">
      <c r="C865" s="12"/>
    </row>
    <row r="866">
      <c r="C866" s="12"/>
    </row>
    <row r="867">
      <c r="C867" s="12"/>
    </row>
    <row r="868">
      <c r="C868" s="12"/>
    </row>
    <row r="869">
      <c r="C869" s="12"/>
    </row>
    <row r="870">
      <c r="C870" s="12"/>
    </row>
    <row r="871">
      <c r="C871" s="12"/>
    </row>
    <row r="872">
      <c r="C872" s="12"/>
    </row>
    <row r="873">
      <c r="C873" s="12"/>
    </row>
    <row r="874">
      <c r="C874" s="12"/>
    </row>
    <row r="875">
      <c r="C875" s="12"/>
    </row>
    <row r="876">
      <c r="C876" s="12"/>
    </row>
    <row r="877">
      <c r="C877" s="12"/>
    </row>
    <row r="878">
      <c r="C878" s="12"/>
    </row>
    <row r="879">
      <c r="C879" s="12"/>
    </row>
    <row r="880">
      <c r="C880" s="12"/>
    </row>
    <row r="881">
      <c r="C881" s="12"/>
    </row>
    <row r="882">
      <c r="C882" s="12"/>
    </row>
    <row r="883">
      <c r="C883" s="12"/>
    </row>
    <row r="884">
      <c r="C884" s="12"/>
    </row>
    <row r="885">
      <c r="C885" s="12"/>
    </row>
    <row r="886">
      <c r="C886" s="12"/>
    </row>
    <row r="887">
      <c r="C887" s="12"/>
    </row>
    <row r="888">
      <c r="C888" s="12"/>
    </row>
    <row r="889">
      <c r="C889" s="12"/>
    </row>
    <row r="890">
      <c r="C890" s="12"/>
    </row>
    <row r="891">
      <c r="C891" s="12"/>
    </row>
    <row r="892">
      <c r="C892" s="12"/>
    </row>
    <row r="893">
      <c r="C893" s="12"/>
    </row>
    <row r="894">
      <c r="C894" s="12"/>
    </row>
    <row r="895">
      <c r="C895" s="12"/>
    </row>
    <row r="896">
      <c r="C896" s="12"/>
    </row>
    <row r="897">
      <c r="C897" s="12"/>
    </row>
    <row r="898">
      <c r="C898" s="12"/>
    </row>
    <row r="899">
      <c r="C899" s="12"/>
    </row>
    <row r="900">
      <c r="C900" s="12"/>
    </row>
    <row r="901">
      <c r="C901" s="12"/>
    </row>
    <row r="902">
      <c r="C902" s="12"/>
    </row>
    <row r="903">
      <c r="C903" s="12"/>
    </row>
    <row r="904">
      <c r="C904" s="12"/>
    </row>
    <row r="905">
      <c r="C905" s="12"/>
    </row>
    <row r="906">
      <c r="C906" s="12"/>
    </row>
    <row r="907">
      <c r="C907" s="12"/>
    </row>
    <row r="908">
      <c r="C908" s="12"/>
    </row>
    <row r="909">
      <c r="C909" s="12"/>
    </row>
    <row r="910">
      <c r="C910" s="12"/>
    </row>
    <row r="911">
      <c r="C911" s="12"/>
    </row>
    <row r="912">
      <c r="C912" s="12"/>
    </row>
    <row r="913">
      <c r="C913" s="12"/>
    </row>
    <row r="914">
      <c r="C914" s="12"/>
    </row>
    <row r="915">
      <c r="C915" s="12"/>
    </row>
    <row r="916">
      <c r="C916" s="12"/>
    </row>
    <row r="917">
      <c r="C917" s="12"/>
    </row>
    <row r="918">
      <c r="C918" s="12"/>
    </row>
    <row r="919">
      <c r="C919" s="12"/>
    </row>
    <row r="920">
      <c r="C920" s="12"/>
    </row>
    <row r="921">
      <c r="C921" s="12"/>
    </row>
    <row r="922">
      <c r="C922" s="12"/>
    </row>
    <row r="923">
      <c r="C923" s="12"/>
    </row>
    <row r="924">
      <c r="C924" s="12"/>
    </row>
    <row r="925">
      <c r="C925" s="12"/>
    </row>
    <row r="926">
      <c r="C926" s="12"/>
    </row>
    <row r="927">
      <c r="C927" s="12"/>
    </row>
    <row r="928">
      <c r="C928" s="12"/>
    </row>
    <row r="929">
      <c r="C929" s="12"/>
    </row>
    <row r="930">
      <c r="C930" s="12"/>
    </row>
    <row r="931">
      <c r="C931" s="12"/>
    </row>
    <row r="932">
      <c r="C932" s="12"/>
    </row>
    <row r="933">
      <c r="C933" s="12"/>
    </row>
    <row r="934">
      <c r="C934" s="12"/>
    </row>
    <row r="935">
      <c r="C935" s="12"/>
    </row>
    <row r="936">
      <c r="C936" s="12"/>
    </row>
    <row r="937">
      <c r="C937" s="12"/>
    </row>
    <row r="938">
      <c r="C938" s="12"/>
    </row>
    <row r="939">
      <c r="C939" s="12"/>
    </row>
    <row r="940">
      <c r="C940" s="12"/>
    </row>
    <row r="941">
      <c r="C941" s="12"/>
    </row>
    <row r="942">
      <c r="C942" s="12"/>
    </row>
    <row r="943">
      <c r="C943" s="12"/>
    </row>
    <row r="944">
      <c r="C944" s="12"/>
    </row>
    <row r="945">
      <c r="C945" s="12"/>
    </row>
    <row r="946">
      <c r="C946" s="12"/>
    </row>
    <row r="947">
      <c r="C947" s="12"/>
    </row>
    <row r="948">
      <c r="C948" s="12"/>
    </row>
    <row r="949">
      <c r="C949" s="12"/>
    </row>
    <row r="950">
      <c r="C950" s="12"/>
    </row>
    <row r="951">
      <c r="C951" s="12"/>
    </row>
    <row r="952">
      <c r="C952" s="12"/>
    </row>
    <row r="953">
      <c r="C953" s="12"/>
    </row>
    <row r="954">
      <c r="C954" s="12"/>
    </row>
    <row r="955">
      <c r="C955" s="12"/>
    </row>
    <row r="956">
      <c r="C956" s="12"/>
    </row>
    <row r="957">
      <c r="C957" s="12"/>
    </row>
    <row r="958">
      <c r="C958" s="12"/>
    </row>
    <row r="959">
      <c r="C959" s="12"/>
    </row>
    <row r="960">
      <c r="C960" s="12"/>
    </row>
    <row r="961">
      <c r="C961" s="12"/>
    </row>
    <row r="962">
      <c r="C962" s="12"/>
    </row>
    <row r="963">
      <c r="C963" s="12"/>
    </row>
    <row r="964">
      <c r="C964" s="12"/>
    </row>
    <row r="965">
      <c r="C965" s="12"/>
    </row>
    <row r="966">
      <c r="C966" s="12"/>
    </row>
    <row r="967">
      <c r="C967" s="12"/>
    </row>
    <row r="968">
      <c r="C968" s="12"/>
    </row>
    <row r="969">
      <c r="C969" s="12"/>
    </row>
    <row r="970">
      <c r="C970" s="12"/>
    </row>
    <row r="971">
      <c r="C971" s="12"/>
    </row>
    <row r="972">
      <c r="C972" s="12"/>
    </row>
    <row r="973">
      <c r="C973" s="12"/>
    </row>
    <row r="974">
      <c r="C974" s="12"/>
    </row>
    <row r="975">
      <c r="C975" s="12"/>
    </row>
    <row r="976">
      <c r="C976" s="12"/>
    </row>
    <row r="977">
      <c r="C977" s="12"/>
    </row>
    <row r="978">
      <c r="C978" s="12"/>
    </row>
    <row r="979">
      <c r="C979" s="12"/>
    </row>
    <row r="980">
      <c r="C980" s="12"/>
    </row>
    <row r="981">
      <c r="C981" s="12"/>
    </row>
    <row r="982">
      <c r="C982" s="12"/>
    </row>
    <row r="983">
      <c r="C983" s="12"/>
    </row>
    <row r="984">
      <c r="C984" s="12"/>
    </row>
    <row r="985">
      <c r="C985" s="12"/>
    </row>
    <row r="986">
      <c r="C986" s="12"/>
    </row>
    <row r="987">
      <c r="C987" s="12"/>
    </row>
    <row r="988">
      <c r="C988" s="12"/>
    </row>
    <row r="989">
      <c r="C989" s="12"/>
    </row>
    <row r="990">
      <c r="C990" s="12"/>
    </row>
    <row r="991">
      <c r="C991" s="12"/>
    </row>
    <row r="992">
      <c r="C992" s="12"/>
    </row>
    <row r="993">
      <c r="C993" s="12"/>
    </row>
    <row r="994">
      <c r="C994" s="12"/>
    </row>
    <row r="995">
      <c r="C995" s="12"/>
    </row>
    <row r="996">
      <c r="C996" s="12"/>
    </row>
    <row r="997">
      <c r="C997" s="12"/>
    </row>
    <row r="998">
      <c r="C998" s="12"/>
    </row>
    <row r="999">
      <c r="C999" s="12"/>
    </row>
    <row r="1000">
      <c r="C1000" s="1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1.0</v>
      </c>
      <c r="B1" s="10" t="s">
        <v>13</v>
      </c>
      <c r="C1" s="10" t="s">
        <v>398</v>
      </c>
    </row>
    <row r="2">
      <c r="A2" s="10">
        <v>3.0</v>
      </c>
      <c r="B2" s="10" t="s">
        <v>13</v>
      </c>
      <c r="C2" s="10" t="s">
        <v>399</v>
      </c>
    </row>
    <row r="3">
      <c r="A3" s="10">
        <v>13.0</v>
      </c>
      <c r="B3" s="10" t="s">
        <v>13</v>
      </c>
      <c r="C3" s="10" t="s">
        <v>400</v>
      </c>
    </row>
    <row r="4">
      <c r="A4" s="10">
        <v>25.0</v>
      </c>
      <c r="B4" s="10" t="s">
        <v>13</v>
      </c>
      <c r="C4" s="10" t="s">
        <v>401</v>
      </c>
    </row>
    <row r="5">
      <c r="A5" s="10">
        <v>26.0</v>
      </c>
      <c r="B5" s="10" t="s">
        <v>13</v>
      </c>
      <c r="C5" s="10" t="s">
        <v>402</v>
      </c>
    </row>
    <row r="6">
      <c r="A6" s="10">
        <v>40.0</v>
      </c>
      <c r="B6" s="10" t="s">
        <v>13</v>
      </c>
      <c r="C6" s="10" t="s">
        <v>403</v>
      </c>
    </row>
    <row r="7">
      <c r="A7" s="10">
        <v>48.0</v>
      </c>
      <c r="B7" s="10" t="s">
        <v>13</v>
      </c>
      <c r="C7" s="10" t="s">
        <v>404</v>
      </c>
    </row>
    <row r="8">
      <c r="A8" s="10">
        <v>49.0</v>
      </c>
      <c r="B8" s="10" t="s">
        <v>13</v>
      </c>
      <c r="C8" s="10" t="s">
        <v>405</v>
      </c>
    </row>
    <row r="9">
      <c r="A9" s="10">
        <v>73.0</v>
      </c>
      <c r="B9" s="10" t="s">
        <v>13</v>
      </c>
      <c r="C9" s="10" t="s">
        <v>406</v>
      </c>
    </row>
    <row r="10">
      <c r="A10" s="10">
        <v>95.0</v>
      </c>
      <c r="B10" s="10" t="s">
        <v>13</v>
      </c>
      <c r="C10" s="10" t="s">
        <v>407</v>
      </c>
    </row>
    <row r="11">
      <c r="A11" s="10">
        <v>96.0</v>
      </c>
      <c r="B11" s="10" t="s">
        <v>13</v>
      </c>
      <c r="C11" s="10" t="s">
        <v>408</v>
      </c>
    </row>
    <row r="12">
      <c r="A12" s="10">
        <v>103.0</v>
      </c>
      <c r="B12" s="10" t="s">
        <v>13</v>
      </c>
      <c r="C12" s="10" t="s">
        <v>409</v>
      </c>
    </row>
    <row r="13">
      <c r="A13" s="10">
        <v>124.0</v>
      </c>
      <c r="B13" s="10" t="s">
        <v>13</v>
      </c>
      <c r="C13" s="10" t="s">
        <v>410</v>
      </c>
    </row>
    <row r="14">
      <c r="A14" s="10">
        <v>134.0</v>
      </c>
      <c r="B14" s="10" t="s">
        <v>13</v>
      </c>
      <c r="C14" s="10" t="s">
        <v>411</v>
      </c>
    </row>
    <row r="15">
      <c r="A15" s="10">
        <v>141.0</v>
      </c>
      <c r="B15" s="10" t="s">
        <v>13</v>
      </c>
      <c r="C15" s="10" t="s">
        <v>412</v>
      </c>
    </row>
    <row r="16">
      <c r="A16" s="10">
        <v>148.0</v>
      </c>
      <c r="B16" s="10" t="s">
        <v>13</v>
      </c>
      <c r="C16" s="10" t="s">
        <v>413</v>
      </c>
    </row>
    <row r="17">
      <c r="A17" s="10">
        <v>152.0</v>
      </c>
      <c r="B17" s="10" t="s">
        <v>13</v>
      </c>
      <c r="C17" s="10" t="s">
        <v>414</v>
      </c>
    </row>
    <row r="18">
      <c r="A18" s="10">
        <v>158.0</v>
      </c>
      <c r="B18" s="10" t="s">
        <v>13</v>
      </c>
      <c r="C18" s="10" t="s">
        <v>415</v>
      </c>
    </row>
    <row r="19">
      <c r="A19" s="10">
        <v>162.0</v>
      </c>
      <c r="B19" s="10" t="s">
        <v>13</v>
      </c>
      <c r="C19" s="10" t="s">
        <v>416</v>
      </c>
    </row>
    <row r="20">
      <c r="A20" s="10">
        <v>164.0</v>
      </c>
      <c r="B20" s="10" t="s">
        <v>13</v>
      </c>
      <c r="C20" s="10" t="s">
        <v>417</v>
      </c>
    </row>
    <row r="21">
      <c r="A21" s="10">
        <v>172.0</v>
      </c>
      <c r="B21" s="10" t="s">
        <v>13</v>
      </c>
      <c r="C21" s="10" t="s">
        <v>418</v>
      </c>
    </row>
    <row r="22">
      <c r="A22" s="10">
        <v>178.0</v>
      </c>
      <c r="B22" s="10" t="s">
        <v>13</v>
      </c>
      <c r="C22" s="10" t="s">
        <v>419</v>
      </c>
    </row>
    <row r="23">
      <c r="A23" s="10">
        <v>182.0</v>
      </c>
      <c r="B23" s="10" t="s">
        <v>13</v>
      </c>
      <c r="C23" s="10" t="s">
        <v>420</v>
      </c>
    </row>
    <row r="24">
      <c r="A24" s="10">
        <v>183.0</v>
      </c>
      <c r="B24" s="10" t="s">
        <v>13</v>
      </c>
      <c r="C24" s="10" t="s">
        <v>421</v>
      </c>
    </row>
    <row r="25">
      <c r="A25" s="10">
        <v>198.0</v>
      </c>
      <c r="B25" s="10" t="s">
        <v>13</v>
      </c>
      <c r="C25" s="10" t="s">
        <v>422</v>
      </c>
    </row>
    <row r="26">
      <c r="A26" s="10">
        <v>204.0</v>
      </c>
      <c r="B26" s="10" t="s">
        <v>13</v>
      </c>
      <c r="C26" s="10" t="s">
        <v>423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25.0</v>
      </c>
      <c r="B1" s="10" t="s">
        <v>13</v>
      </c>
      <c r="C1" s="10" t="s">
        <v>424</v>
      </c>
    </row>
    <row r="2">
      <c r="A2" s="10">
        <v>26.0</v>
      </c>
      <c r="B2" s="10" t="s">
        <v>13</v>
      </c>
      <c r="C2" s="10" t="s">
        <v>425</v>
      </c>
    </row>
    <row r="3">
      <c r="A3" s="10">
        <v>78.0</v>
      </c>
      <c r="B3" s="10" t="s">
        <v>13</v>
      </c>
      <c r="C3" s="10" t="s">
        <v>426</v>
      </c>
    </row>
    <row r="4">
      <c r="A4" s="10">
        <v>84.0</v>
      </c>
      <c r="B4" s="10" t="s">
        <v>13</v>
      </c>
      <c r="C4" s="10" t="s">
        <v>427</v>
      </c>
    </row>
    <row r="5">
      <c r="A5" s="10">
        <v>94.0</v>
      </c>
      <c r="B5" s="10" t="s">
        <v>13</v>
      </c>
      <c r="C5" s="10" t="s">
        <v>428</v>
      </c>
    </row>
    <row r="6">
      <c r="A6" s="10">
        <v>131.0</v>
      </c>
      <c r="B6" s="10" t="s">
        <v>13</v>
      </c>
      <c r="C6" s="10" t="s">
        <v>429</v>
      </c>
    </row>
    <row r="7">
      <c r="A7" s="10">
        <v>140.0</v>
      </c>
      <c r="B7" s="10" t="s">
        <v>13</v>
      </c>
      <c r="C7" s="10" t="s">
        <v>430</v>
      </c>
    </row>
    <row r="8">
      <c r="A8" s="10">
        <v>143.0</v>
      </c>
      <c r="B8" s="10" t="s">
        <v>13</v>
      </c>
      <c r="C8" s="10" t="s">
        <v>431</v>
      </c>
    </row>
    <row r="9">
      <c r="A9" s="10">
        <v>145.0</v>
      </c>
      <c r="B9" s="10" t="s">
        <v>13</v>
      </c>
      <c r="C9" s="10" t="s">
        <v>432</v>
      </c>
    </row>
    <row r="10">
      <c r="A10" s="10">
        <v>146.0</v>
      </c>
      <c r="B10" s="10" t="s">
        <v>13</v>
      </c>
      <c r="C10" s="10" t="s">
        <v>433</v>
      </c>
    </row>
    <row r="11">
      <c r="A11" s="10">
        <v>156.0</v>
      </c>
      <c r="B11" s="10" t="s">
        <v>13</v>
      </c>
      <c r="C11" s="10" t="s">
        <v>413</v>
      </c>
    </row>
    <row r="12">
      <c r="A12" s="10">
        <v>161.0</v>
      </c>
      <c r="B12" s="10" t="s">
        <v>13</v>
      </c>
      <c r="C12" s="10" t="s">
        <v>434</v>
      </c>
    </row>
    <row r="13">
      <c r="A13" s="10">
        <v>180.0</v>
      </c>
      <c r="B13" s="10" t="s">
        <v>13</v>
      </c>
      <c r="C13" s="10" t="s">
        <v>435</v>
      </c>
    </row>
    <row r="14">
      <c r="A14" s="10">
        <v>192.0</v>
      </c>
      <c r="B14" s="10" t="s">
        <v>13</v>
      </c>
      <c r="C14" s="10" t="s">
        <v>436</v>
      </c>
    </row>
    <row r="15">
      <c r="A15" s="10">
        <v>197.0</v>
      </c>
      <c r="B15" s="10" t="s">
        <v>13</v>
      </c>
      <c r="C15" s="10" t="s">
        <v>437</v>
      </c>
    </row>
    <row r="16">
      <c r="A16" s="10">
        <v>218.0</v>
      </c>
      <c r="B16" s="10" t="s">
        <v>13</v>
      </c>
      <c r="C16" s="10" t="s">
        <v>438</v>
      </c>
    </row>
    <row r="17">
      <c r="A17" s="10">
        <v>219.0</v>
      </c>
      <c r="B17" s="10" t="s">
        <v>13</v>
      </c>
      <c r="C17" s="10" t="s">
        <v>439</v>
      </c>
    </row>
    <row r="18">
      <c r="A18" s="10">
        <v>221.0</v>
      </c>
      <c r="B18" s="10" t="s">
        <v>13</v>
      </c>
      <c r="C18" s="10" t="s">
        <v>440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88"/>
  </cols>
  <sheetData>
    <row r="1">
      <c r="A1" s="10">
        <v>45.0</v>
      </c>
      <c r="B1" s="10" t="s">
        <v>13</v>
      </c>
      <c r="C1" s="10" t="s">
        <v>441</v>
      </c>
    </row>
    <row r="2">
      <c r="A2" s="10">
        <v>121.0</v>
      </c>
      <c r="B2" s="10" t="s">
        <v>13</v>
      </c>
      <c r="C2" s="10" t="s">
        <v>442</v>
      </c>
    </row>
    <row r="3">
      <c r="A3" s="10">
        <v>126.0</v>
      </c>
      <c r="B3" s="10" t="s">
        <v>13</v>
      </c>
      <c r="C3" s="10" t="s">
        <v>443</v>
      </c>
    </row>
    <row r="4">
      <c r="A4" s="10">
        <v>194.0</v>
      </c>
      <c r="B4" s="10" t="s">
        <v>13</v>
      </c>
      <c r="C4" s="10" t="s">
        <v>444</v>
      </c>
    </row>
    <row r="5">
      <c r="A5" s="10">
        <v>203.0</v>
      </c>
      <c r="B5" s="10" t="s">
        <v>13</v>
      </c>
      <c r="C5" s="10" t="s">
        <v>445</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1.0</v>
      </c>
      <c r="B1" s="10" t="s">
        <v>13</v>
      </c>
      <c r="C1" s="10" t="s">
        <v>446</v>
      </c>
      <c r="F1" s="10" t="s">
        <v>447</v>
      </c>
      <c r="G1" s="10" t="s">
        <v>448</v>
      </c>
    </row>
    <row r="2">
      <c r="A2" s="10">
        <v>2.0</v>
      </c>
      <c r="B2" s="10" t="s">
        <v>13</v>
      </c>
      <c r="C2" s="10" t="s">
        <v>449</v>
      </c>
      <c r="F2" s="14">
        <f t="array" ref="F2">SUM(COUNTIFS(C1:C210,{"*secretary*","*treasurer*","*local group*","*group*"}))</f>
        <v>58</v>
      </c>
      <c r="G2" s="14">
        <f t="array" ref="G2">SUM(COUNTIFS(C1:C210,{"*staff*","*employed*"}))</f>
        <v>3</v>
      </c>
    </row>
    <row r="3">
      <c r="A3" s="10">
        <v>3.0</v>
      </c>
      <c r="B3" s="10" t="s">
        <v>13</v>
      </c>
      <c r="C3" s="10" t="s">
        <v>450</v>
      </c>
    </row>
    <row r="4">
      <c r="A4" s="10">
        <v>4.0</v>
      </c>
      <c r="B4" s="10" t="s">
        <v>13</v>
      </c>
      <c r="C4" s="10" t="s">
        <v>451</v>
      </c>
    </row>
    <row r="5">
      <c r="A5" s="10">
        <v>5.0</v>
      </c>
      <c r="B5" s="10" t="s">
        <v>13</v>
      </c>
      <c r="C5" s="10" t="s">
        <v>452</v>
      </c>
    </row>
    <row r="6">
      <c r="A6" s="10">
        <v>6.0</v>
      </c>
      <c r="B6" s="10" t="s">
        <v>13</v>
      </c>
      <c r="C6" s="10" t="s">
        <v>448</v>
      </c>
    </row>
    <row r="7">
      <c r="A7" s="10">
        <v>7.0</v>
      </c>
      <c r="B7" s="10" t="s">
        <v>13</v>
      </c>
      <c r="C7" s="10" t="s">
        <v>453</v>
      </c>
    </row>
    <row r="8">
      <c r="A8" s="10">
        <v>8.0</v>
      </c>
      <c r="B8" s="10" t="s">
        <v>13</v>
      </c>
      <c r="C8" s="10" t="s">
        <v>454</v>
      </c>
    </row>
    <row r="9">
      <c r="A9" s="10">
        <v>9.0</v>
      </c>
      <c r="B9" s="10" t="s">
        <v>13</v>
      </c>
      <c r="C9" s="10" t="s">
        <v>455</v>
      </c>
    </row>
    <row r="10">
      <c r="A10" s="10">
        <v>10.0</v>
      </c>
      <c r="B10" s="10" t="s">
        <v>13</v>
      </c>
      <c r="C10" s="10" t="s">
        <v>456</v>
      </c>
    </row>
    <row r="11">
      <c r="A11" s="10">
        <v>11.0</v>
      </c>
      <c r="B11" s="10" t="s">
        <v>13</v>
      </c>
      <c r="C11" s="10" t="s">
        <v>457</v>
      </c>
    </row>
    <row r="12">
      <c r="A12" s="10">
        <v>12.0</v>
      </c>
      <c r="B12" s="10" t="s">
        <v>13</v>
      </c>
      <c r="C12" s="10" t="s">
        <v>458</v>
      </c>
    </row>
    <row r="13">
      <c r="A13" s="10">
        <v>13.0</v>
      </c>
      <c r="B13" s="10" t="s">
        <v>13</v>
      </c>
      <c r="C13" s="10" t="s">
        <v>459</v>
      </c>
    </row>
    <row r="14">
      <c r="A14" s="10">
        <v>14.0</v>
      </c>
      <c r="B14" s="10" t="s">
        <v>13</v>
      </c>
      <c r="C14" s="10" t="s">
        <v>460</v>
      </c>
    </row>
    <row r="15">
      <c r="A15" s="10">
        <v>15.0</v>
      </c>
      <c r="B15" s="10" t="s">
        <v>13</v>
      </c>
      <c r="C15" s="10" t="s">
        <v>461</v>
      </c>
    </row>
    <row r="16">
      <c r="A16" s="10">
        <v>16.0</v>
      </c>
      <c r="B16" s="10" t="s">
        <v>13</v>
      </c>
      <c r="C16" s="10" t="s">
        <v>451</v>
      </c>
    </row>
    <row r="17">
      <c r="A17" s="10">
        <v>17.0</v>
      </c>
      <c r="B17" s="10" t="s">
        <v>13</v>
      </c>
      <c r="C17" s="10" t="s">
        <v>462</v>
      </c>
    </row>
    <row r="18">
      <c r="A18" s="10">
        <v>18.0</v>
      </c>
      <c r="B18" s="10" t="s">
        <v>13</v>
      </c>
      <c r="C18" s="10" t="s">
        <v>463</v>
      </c>
    </row>
    <row r="19">
      <c r="A19" s="10">
        <v>19.0</v>
      </c>
      <c r="B19" s="10" t="s">
        <v>13</v>
      </c>
      <c r="C19" s="10" t="s">
        <v>464</v>
      </c>
    </row>
    <row r="20">
      <c r="A20" s="10">
        <v>20.0</v>
      </c>
      <c r="B20" s="10" t="s">
        <v>13</v>
      </c>
      <c r="C20" s="10" t="s">
        <v>465</v>
      </c>
    </row>
    <row r="21">
      <c r="A21" s="10">
        <v>21.0</v>
      </c>
      <c r="B21" s="10" t="s">
        <v>13</v>
      </c>
      <c r="C21" s="10" t="s">
        <v>466</v>
      </c>
    </row>
    <row r="22">
      <c r="A22" s="10">
        <v>22.0</v>
      </c>
      <c r="B22" s="10" t="s">
        <v>13</v>
      </c>
      <c r="C22" s="10" t="s">
        <v>467</v>
      </c>
    </row>
    <row r="23">
      <c r="A23" s="10">
        <v>23.0</v>
      </c>
      <c r="B23" s="10" t="s">
        <v>13</v>
      </c>
      <c r="C23" s="10" t="s">
        <v>468</v>
      </c>
    </row>
    <row r="24">
      <c r="A24" s="10">
        <v>24.0</v>
      </c>
      <c r="B24" s="10" t="s">
        <v>13</v>
      </c>
      <c r="C24" s="10" t="s">
        <v>469</v>
      </c>
    </row>
    <row r="25">
      <c r="A25" s="10">
        <v>25.0</v>
      </c>
      <c r="B25" s="10" t="s">
        <v>13</v>
      </c>
      <c r="C25" s="10" t="s">
        <v>470</v>
      </c>
    </row>
    <row r="26">
      <c r="A26" s="10">
        <v>26.0</v>
      </c>
      <c r="B26" s="10" t="s">
        <v>13</v>
      </c>
      <c r="C26" s="10" t="s">
        <v>471</v>
      </c>
    </row>
    <row r="27">
      <c r="A27" s="10">
        <v>27.0</v>
      </c>
      <c r="B27" s="10" t="s">
        <v>13</v>
      </c>
      <c r="C27" s="10" t="s">
        <v>472</v>
      </c>
    </row>
    <row r="28">
      <c r="A28" s="10">
        <v>28.0</v>
      </c>
      <c r="B28" s="10" t="s">
        <v>13</v>
      </c>
      <c r="C28" s="10" t="s">
        <v>473</v>
      </c>
    </row>
    <row r="29">
      <c r="A29" s="10">
        <v>29.0</v>
      </c>
      <c r="B29" s="10" t="s">
        <v>13</v>
      </c>
      <c r="C29" s="10" t="s">
        <v>451</v>
      </c>
    </row>
    <row r="30">
      <c r="A30" s="10">
        <v>30.0</v>
      </c>
      <c r="B30" s="10" t="s">
        <v>13</v>
      </c>
      <c r="C30" s="10" t="s">
        <v>474</v>
      </c>
    </row>
    <row r="31">
      <c r="A31" s="10">
        <v>31.0</v>
      </c>
      <c r="B31" s="10" t="s">
        <v>13</v>
      </c>
      <c r="C31" s="10" t="s">
        <v>475</v>
      </c>
    </row>
    <row r="32">
      <c r="A32" s="10">
        <v>32.0</v>
      </c>
      <c r="B32" s="10" t="s">
        <v>13</v>
      </c>
      <c r="C32" s="10" t="s">
        <v>476</v>
      </c>
    </row>
    <row r="33">
      <c r="A33" s="10">
        <v>33.0</v>
      </c>
      <c r="B33" s="10" t="s">
        <v>13</v>
      </c>
      <c r="C33" s="10" t="s">
        <v>477</v>
      </c>
    </row>
    <row r="34">
      <c r="A34" s="10">
        <v>34.0</v>
      </c>
      <c r="B34" s="10" t="s">
        <v>13</v>
      </c>
      <c r="C34" s="10" t="s">
        <v>478</v>
      </c>
    </row>
    <row r="35">
      <c r="A35" s="10">
        <v>35.0</v>
      </c>
      <c r="B35" s="10" t="s">
        <v>13</v>
      </c>
      <c r="C35" s="10" t="s">
        <v>479</v>
      </c>
    </row>
    <row r="36">
      <c r="A36" s="10">
        <v>36.0</v>
      </c>
      <c r="B36" s="10" t="s">
        <v>13</v>
      </c>
      <c r="C36" s="10" t="s">
        <v>480</v>
      </c>
    </row>
    <row r="37">
      <c r="A37" s="10">
        <v>37.0</v>
      </c>
      <c r="B37" s="10" t="s">
        <v>13</v>
      </c>
      <c r="C37" s="10" t="s">
        <v>481</v>
      </c>
    </row>
    <row r="38">
      <c r="A38" s="10">
        <v>38.0</v>
      </c>
      <c r="B38" s="10" t="s">
        <v>13</v>
      </c>
      <c r="C38" s="10" t="s">
        <v>482</v>
      </c>
    </row>
    <row r="39">
      <c r="A39" s="10">
        <v>39.0</v>
      </c>
      <c r="B39" s="10" t="s">
        <v>13</v>
      </c>
      <c r="C39" s="10" t="s">
        <v>483</v>
      </c>
    </row>
    <row r="40">
      <c r="A40" s="10">
        <v>40.0</v>
      </c>
      <c r="B40" s="10" t="s">
        <v>13</v>
      </c>
      <c r="C40" s="10" t="s">
        <v>484</v>
      </c>
    </row>
    <row r="41">
      <c r="A41" s="10">
        <v>41.0</v>
      </c>
      <c r="B41" s="10" t="s">
        <v>13</v>
      </c>
      <c r="C41" s="10" t="s">
        <v>485</v>
      </c>
    </row>
    <row r="42">
      <c r="A42" s="10">
        <v>42.0</v>
      </c>
      <c r="B42" s="10" t="s">
        <v>13</v>
      </c>
      <c r="C42" s="10" t="s">
        <v>452</v>
      </c>
    </row>
    <row r="43">
      <c r="A43" s="10">
        <v>43.0</v>
      </c>
      <c r="B43" s="10" t="s">
        <v>13</v>
      </c>
      <c r="C43" s="10" t="s">
        <v>486</v>
      </c>
    </row>
    <row r="44">
      <c r="A44" s="10">
        <v>44.0</v>
      </c>
      <c r="B44" s="10" t="s">
        <v>13</v>
      </c>
      <c r="C44" s="10" t="s">
        <v>487</v>
      </c>
    </row>
    <row r="45">
      <c r="A45" s="10">
        <v>45.0</v>
      </c>
      <c r="B45" s="10" t="s">
        <v>13</v>
      </c>
      <c r="C45" s="10" t="s">
        <v>488</v>
      </c>
    </row>
    <row r="46">
      <c r="A46" s="10">
        <v>46.0</v>
      </c>
      <c r="B46" s="10" t="s">
        <v>13</v>
      </c>
      <c r="C46" s="10" t="s">
        <v>489</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02.63"/>
  </cols>
  <sheetData>
    <row r="1">
      <c r="A1" s="10">
        <v>1.0</v>
      </c>
      <c r="B1" s="10" t="s">
        <v>13</v>
      </c>
      <c r="C1" s="11" t="s">
        <v>490</v>
      </c>
    </row>
    <row r="2">
      <c r="A2" s="10">
        <v>2.0</v>
      </c>
      <c r="B2" s="10" t="s">
        <v>13</v>
      </c>
      <c r="C2" s="11" t="s">
        <v>491</v>
      </c>
    </row>
    <row r="3">
      <c r="A3" s="10">
        <v>3.0</v>
      </c>
      <c r="B3" s="10" t="s">
        <v>13</v>
      </c>
      <c r="C3" s="11" t="s">
        <v>492</v>
      </c>
    </row>
    <row r="4">
      <c r="A4" s="10">
        <v>4.0</v>
      </c>
      <c r="B4" s="10" t="s">
        <v>13</v>
      </c>
      <c r="C4" s="11" t="s">
        <v>493</v>
      </c>
    </row>
    <row r="5">
      <c r="A5" s="10">
        <v>5.0</v>
      </c>
      <c r="B5" s="10" t="s">
        <v>13</v>
      </c>
      <c r="C5" s="11" t="s">
        <v>494</v>
      </c>
    </row>
    <row r="6">
      <c r="A6" s="10">
        <v>6.0</v>
      </c>
      <c r="B6" s="10" t="s">
        <v>13</v>
      </c>
      <c r="C6" s="11" t="s">
        <v>495</v>
      </c>
    </row>
    <row r="7">
      <c r="A7" s="10">
        <v>7.0</v>
      </c>
      <c r="B7" s="10" t="s">
        <v>13</v>
      </c>
      <c r="C7" s="11" t="s">
        <v>496</v>
      </c>
    </row>
    <row r="8">
      <c r="A8" s="10">
        <v>8.0</v>
      </c>
      <c r="B8" s="10" t="s">
        <v>13</v>
      </c>
      <c r="C8" s="11" t="s">
        <v>497</v>
      </c>
    </row>
    <row r="9">
      <c r="A9" s="10">
        <v>9.0</v>
      </c>
      <c r="B9" s="10" t="s">
        <v>13</v>
      </c>
      <c r="C9" s="11" t="s">
        <v>498</v>
      </c>
    </row>
    <row r="10">
      <c r="A10" s="10">
        <v>10.0</v>
      </c>
      <c r="B10" s="10" t="s">
        <v>13</v>
      </c>
      <c r="C10" s="11" t="s">
        <v>499</v>
      </c>
    </row>
    <row r="11">
      <c r="A11" s="10">
        <v>11.0</v>
      </c>
      <c r="B11" s="10" t="s">
        <v>13</v>
      </c>
      <c r="C11" s="11" t="s">
        <v>500</v>
      </c>
    </row>
    <row r="12">
      <c r="A12" s="10">
        <v>12.0</v>
      </c>
      <c r="B12" s="10" t="s">
        <v>13</v>
      </c>
      <c r="C12" s="11" t="s">
        <v>501</v>
      </c>
    </row>
    <row r="13">
      <c r="A13" s="10">
        <v>13.0</v>
      </c>
      <c r="B13" s="10" t="s">
        <v>13</v>
      </c>
      <c r="C13" s="11" t="s">
        <v>502</v>
      </c>
    </row>
    <row r="14">
      <c r="A14" s="10">
        <v>14.0</v>
      </c>
      <c r="B14" s="10" t="s">
        <v>13</v>
      </c>
      <c r="C14" s="11" t="s">
        <v>503</v>
      </c>
    </row>
    <row r="15">
      <c r="A15" s="10">
        <v>15.0</v>
      </c>
      <c r="B15" s="10" t="s">
        <v>13</v>
      </c>
      <c r="C15" s="11" t="s">
        <v>504</v>
      </c>
    </row>
    <row r="16">
      <c r="A16" s="10">
        <v>16.0</v>
      </c>
      <c r="B16" s="10" t="s">
        <v>13</v>
      </c>
      <c r="C16" s="11" t="s">
        <v>505</v>
      </c>
    </row>
    <row r="17">
      <c r="A17" s="10">
        <v>17.0</v>
      </c>
      <c r="B17" s="10" t="s">
        <v>13</v>
      </c>
      <c r="C17" s="11" t="s">
        <v>506</v>
      </c>
    </row>
    <row r="18">
      <c r="A18" s="10">
        <v>18.0</v>
      </c>
      <c r="B18" s="10" t="s">
        <v>13</v>
      </c>
      <c r="C18" s="11" t="s">
        <v>507</v>
      </c>
    </row>
    <row r="19">
      <c r="A19" s="10">
        <v>19.0</v>
      </c>
      <c r="B19" s="10" t="s">
        <v>13</v>
      </c>
      <c r="C19" s="11" t="s">
        <v>508</v>
      </c>
    </row>
    <row r="20">
      <c r="A20" s="10">
        <v>20.0</v>
      </c>
      <c r="B20" s="10" t="s">
        <v>13</v>
      </c>
      <c r="C20" s="11" t="s">
        <v>509</v>
      </c>
    </row>
    <row r="21">
      <c r="A21" s="10">
        <v>21.0</v>
      </c>
      <c r="B21" s="10" t="s">
        <v>13</v>
      </c>
      <c r="C21" s="11" t="s">
        <v>510</v>
      </c>
    </row>
    <row r="22">
      <c r="A22" s="10">
        <v>22.0</v>
      </c>
      <c r="B22" s="10" t="s">
        <v>13</v>
      </c>
      <c r="C22" s="11" t="s">
        <v>511</v>
      </c>
    </row>
    <row r="23">
      <c r="A23" s="10">
        <v>23.0</v>
      </c>
      <c r="B23" s="10" t="s">
        <v>13</v>
      </c>
      <c r="C23" s="11" t="s">
        <v>512</v>
      </c>
    </row>
    <row r="24">
      <c r="A24" s="10">
        <v>24.0</v>
      </c>
      <c r="B24" s="10" t="s">
        <v>13</v>
      </c>
      <c r="C24" s="11" t="s">
        <v>513</v>
      </c>
    </row>
    <row r="25">
      <c r="A25" s="10">
        <v>25.0</v>
      </c>
      <c r="B25" s="10" t="s">
        <v>13</v>
      </c>
      <c r="C25" s="11" t="s">
        <v>514</v>
      </c>
    </row>
    <row r="26">
      <c r="A26" s="10">
        <v>26.0</v>
      </c>
      <c r="B26" s="10" t="s">
        <v>13</v>
      </c>
      <c r="C26" s="11" t="s">
        <v>515</v>
      </c>
    </row>
    <row r="27">
      <c r="A27" s="10">
        <v>27.0</v>
      </c>
      <c r="B27" s="10" t="s">
        <v>13</v>
      </c>
      <c r="C27" s="11" t="s">
        <v>516</v>
      </c>
    </row>
    <row r="28">
      <c r="A28" s="10">
        <v>28.0</v>
      </c>
      <c r="B28" s="10" t="s">
        <v>13</v>
      </c>
      <c r="C28" s="11" t="s">
        <v>517</v>
      </c>
    </row>
    <row r="29">
      <c r="A29" s="10">
        <v>29.0</v>
      </c>
      <c r="B29" s="10" t="s">
        <v>13</v>
      </c>
      <c r="C29" s="11" t="s">
        <v>518</v>
      </c>
    </row>
    <row r="30">
      <c r="A30" s="10">
        <v>30.0</v>
      </c>
      <c r="B30" s="10" t="s">
        <v>13</v>
      </c>
      <c r="C30" s="11" t="s">
        <v>519</v>
      </c>
    </row>
    <row r="31">
      <c r="A31" s="10">
        <v>31.0</v>
      </c>
      <c r="B31" s="10" t="s">
        <v>13</v>
      </c>
      <c r="C31" s="11" t="s">
        <v>520</v>
      </c>
    </row>
    <row r="32">
      <c r="A32" s="10">
        <v>32.0</v>
      </c>
      <c r="B32" s="10" t="s">
        <v>13</v>
      </c>
      <c r="C32" s="11" t="s">
        <v>521</v>
      </c>
    </row>
    <row r="33">
      <c r="A33" s="10">
        <v>33.0</v>
      </c>
      <c r="B33" s="10" t="s">
        <v>13</v>
      </c>
      <c r="C33" s="11" t="s">
        <v>16</v>
      </c>
    </row>
    <row r="34">
      <c r="A34" s="10">
        <v>34.0</v>
      </c>
      <c r="B34" s="10" t="s">
        <v>13</v>
      </c>
      <c r="C34" s="11" t="s">
        <v>522</v>
      </c>
    </row>
    <row r="35">
      <c r="A35" s="10">
        <v>35.0</v>
      </c>
      <c r="B35" s="10" t="s">
        <v>13</v>
      </c>
      <c r="C35" s="11" t="s">
        <v>523</v>
      </c>
    </row>
    <row r="36">
      <c r="A36" s="10">
        <v>36.0</v>
      </c>
      <c r="B36" s="10" t="s">
        <v>13</v>
      </c>
      <c r="C36" s="11" t="s">
        <v>524</v>
      </c>
    </row>
    <row r="37">
      <c r="A37" s="10">
        <v>37.0</v>
      </c>
      <c r="B37" s="10" t="s">
        <v>13</v>
      </c>
      <c r="C37" s="11" t="s">
        <v>525</v>
      </c>
    </row>
    <row r="38">
      <c r="A38" s="10">
        <v>38.0</v>
      </c>
      <c r="B38" s="10" t="s">
        <v>13</v>
      </c>
      <c r="C38" s="11" t="s">
        <v>526</v>
      </c>
    </row>
    <row r="39">
      <c r="A39" s="10">
        <v>39.0</v>
      </c>
      <c r="B39" s="10" t="s">
        <v>13</v>
      </c>
      <c r="C39" s="11" t="s">
        <v>527</v>
      </c>
    </row>
    <row r="40">
      <c r="A40" s="10">
        <v>40.0</v>
      </c>
      <c r="B40" s="10" t="s">
        <v>13</v>
      </c>
      <c r="C40" s="11" t="s">
        <v>528</v>
      </c>
    </row>
    <row r="41">
      <c r="A41" s="10">
        <v>41.0</v>
      </c>
      <c r="B41" s="10" t="s">
        <v>13</v>
      </c>
      <c r="C41" s="11" t="s">
        <v>529</v>
      </c>
    </row>
    <row r="42">
      <c r="A42" s="10">
        <v>42.0</v>
      </c>
      <c r="B42" s="10" t="s">
        <v>13</v>
      </c>
      <c r="C42" s="11" t="s">
        <v>530</v>
      </c>
    </row>
    <row r="43">
      <c r="A43" s="10">
        <v>43.0</v>
      </c>
      <c r="B43" s="10" t="s">
        <v>13</v>
      </c>
      <c r="C43" s="11" t="s">
        <v>531</v>
      </c>
    </row>
    <row r="44">
      <c r="A44" s="10">
        <v>44.0</v>
      </c>
      <c r="B44" s="10" t="s">
        <v>13</v>
      </c>
      <c r="C44" s="11" t="s">
        <v>532</v>
      </c>
    </row>
    <row r="45">
      <c r="A45" s="10">
        <v>45.0</v>
      </c>
      <c r="B45" s="10" t="s">
        <v>13</v>
      </c>
      <c r="C45" s="11" t="s">
        <v>533</v>
      </c>
    </row>
    <row r="46">
      <c r="A46" s="10">
        <v>46.0</v>
      </c>
      <c r="B46" s="10" t="s">
        <v>13</v>
      </c>
      <c r="C46" s="11" t="s">
        <v>534</v>
      </c>
    </row>
    <row r="47">
      <c r="A47" s="10">
        <v>47.0</v>
      </c>
      <c r="B47" s="10" t="s">
        <v>13</v>
      </c>
      <c r="C47" s="11" t="s">
        <v>535</v>
      </c>
    </row>
    <row r="48">
      <c r="A48" s="10">
        <v>48.0</v>
      </c>
      <c r="B48" s="10" t="s">
        <v>13</v>
      </c>
      <c r="C48" s="11" t="s">
        <v>536</v>
      </c>
    </row>
    <row r="49">
      <c r="A49" s="10">
        <v>49.0</v>
      </c>
      <c r="B49" s="10" t="s">
        <v>13</v>
      </c>
      <c r="C49" s="11" t="s">
        <v>537</v>
      </c>
    </row>
    <row r="50">
      <c r="A50" s="10">
        <v>50.0</v>
      </c>
      <c r="B50" s="10" t="s">
        <v>13</v>
      </c>
      <c r="C50" s="11" t="s">
        <v>538</v>
      </c>
    </row>
    <row r="51">
      <c r="A51" s="10">
        <v>51.0</v>
      </c>
      <c r="B51" s="10" t="s">
        <v>13</v>
      </c>
      <c r="C51" s="11" t="s">
        <v>539</v>
      </c>
    </row>
    <row r="52">
      <c r="A52" s="10">
        <v>52.0</v>
      </c>
      <c r="B52" s="10" t="s">
        <v>13</v>
      </c>
      <c r="C52" s="11" t="s">
        <v>540</v>
      </c>
    </row>
    <row r="53">
      <c r="A53" s="10">
        <v>53.0</v>
      </c>
      <c r="B53" s="10" t="s">
        <v>13</v>
      </c>
      <c r="C53" s="11" t="s">
        <v>541</v>
      </c>
    </row>
    <row r="54">
      <c r="A54" s="10">
        <v>54.0</v>
      </c>
      <c r="B54" s="10" t="s">
        <v>13</v>
      </c>
      <c r="C54" s="11" t="s">
        <v>542</v>
      </c>
    </row>
    <row r="55">
      <c r="A55" s="10">
        <v>55.0</v>
      </c>
      <c r="B55" s="10" t="s">
        <v>13</v>
      </c>
      <c r="C55" s="11" t="s">
        <v>543</v>
      </c>
    </row>
    <row r="56">
      <c r="A56" s="10">
        <v>56.0</v>
      </c>
      <c r="B56" s="10" t="s">
        <v>13</v>
      </c>
      <c r="C56" s="11" t="s">
        <v>544</v>
      </c>
    </row>
    <row r="57">
      <c r="A57" s="10">
        <v>57.0</v>
      </c>
      <c r="B57" s="10" t="s">
        <v>13</v>
      </c>
      <c r="C57" s="11" t="s">
        <v>478</v>
      </c>
    </row>
    <row r="58">
      <c r="A58" s="10">
        <v>58.0</v>
      </c>
      <c r="B58" s="10" t="s">
        <v>13</v>
      </c>
      <c r="C58" s="11" t="s">
        <v>545</v>
      </c>
    </row>
    <row r="59">
      <c r="A59" s="10">
        <v>59.0</v>
      </c>
      <c r="B59" s="10" t="s">
        <v>13</v>
      </c>
      <c r="C59" s="11" t="s">
        <v>546</v>
      </c>
    </row>
    <row r="60">
      <c r="A60" s="10">
        <v>60.0</v>
      </c>
      <c r="B60" s="10" t="s">
        <v>13</v>
      </c>
      <c r="C60" s="11" t="s">
        <v>547</v>
      </c>
    </row>
    <row r="61">
      <c r="A61" s="10">
        <v>61.0</v>
      </c>
      <c r="B61" s="10" t="s">
        <v>13</v>
      </c>
      <c r="C61" s="11" t="s">
        <v>548</v>
      </c>
    </row>
    <row r="62">
      <c r="A62" s="10">
        <v>62.0</v>
      </c>
      <c r="B62" s="10" t="s">
        <v>13</v>
      </c>
      <c r="C62" s="11" t="s">
        <v>549</v>
      </c>
    </row>
    <row r="63">
      <c r="A63" s="10">
        <v>63.0</v>
      </c>
      <c r="B63" s="10" t="s">
        <v>13</v>
      </c>
      <c r="C63" s="11" t="s">
        <v>550</v>
      </c>
    </row>
    <row r="64">
      <c r="A64" s="10">
        <v>64.0</v>
      </c>
      <c r="B64" s="10" t="s">
        <v>13</v>
      </c>
      <c r="C64" s="11" t="s">
        <v>16</v>
      </c>
    </row>
    <row r="65">
      <c r="A65" s="10">
        <v>65.0</v>
      </c>
      <c r="B65" s="10" t="s">
        <v>13</v>
      </c>
      <c r="C65" s="11" t="s">
        <v>551</v>
      </c>
    </row>
    <row r="66">
      <c r="A66" s="10">
        <v>66.0</v>
      </c>
      <c r="B66" s="10" t="s">
        <v>13</v>
      </c>
      <c r="C66" s="11" t="s">
        <v>552</v>
      </c>
    </row>
    <row r="67">
      <c r="A67" s="10">
        <v>67.0</v>
      </c>
      <c r="B67" s="10" t="s">
        <v>13</v>
      </c>
      <c r="C67" s="11" t="s">
        <v>553</v>
      </c>
    </row>
    <row r="68">
      <c r="A68" s="10">
        <v>68.0</v>
      </c>
      <c r="B68" s="10" t="s">
        <v>13</v>
      </c>
      <c r="C68" s="11" t="s">
        <v>554</v>
      </c>
    </row>
    <row r="69">
      <c r="A69" s="10">
        <v>69.0</v>
      </c>
      <c r="B69" s="10" t="s">
        <v>13</v>
      </c>
      <c r="C69" s="11" t="s">
        <v>555</v>
      </c>
    </row>
    <row r="70">
      <c r="A70" s="10">
        <v>70.0</v>
      </c>
      <c r="B70" s="10" t="s">
        <v>13</v>
      </c>
      <c r="C70" s="11" t="s">
        <v>556</v>
      </c>
    </row>
    <row r="71">
      <c r="A71" s="10">
        <v>71.0</v>
      </c>
      <c r="B71" s="10" t="s">
        <v>13</v>
      </c>
      <c r="C71" s="11" t="s">
        <v>16</v>
      </c>
    </row>
    <row r="72">
      <c r="A72" s="10">
        <v>72.0</v>
      </c>
      <c r="B72" s="10" t="s">
        <v>13</v>
      </c>
      <c r="C72" s="11" t="s">
        <v>557</v>
      </c>
    </row>
    <row r="73">
      <c r="A73" s="10">
        <v>73.0</v>
      </c>
      <c r="B73" s="10" t="s">
        <v>13</v>
      </c>
      <c r="C73" s="11" t="s">
        <v>558</v>
      </c>
    </row>
    <row r="74">
      <c r="A74" s="10">
        <v>74.0</v>
      </c>
      <c r="B74" s="10" t="s">
        <v>13</v>
      </c>
      <c r="C74" s="11" t="s">
        <v>16</v>
      </c>
    </row>
    <row r="75">
      <c r="A75" s="10">
        <v>75.0</v>
      </c>
      <c r="B75" s="10" t="s">
        <v>13</v>
      </c>
      <c r="C75" s="11" t="s">
        <v>559</v>
      </c>
    </row>
    <row r="76">
      <c r="A76" s="10">
        <v>76.0</v>
      </c>
      <c r="B76" s="10" t="s">
        <v>13</v>
      </c>
      <c r="C76" s="11" t="s">
        <v>560</v>
      </c>
    </row>
    <row r="77">
      <c r="A77" s="10">
        <v>77.0</v>
      </c>
      <c r="B77" s="10" t="s">
        <v>13</v>
      </c>
      <c r="C77" s="11" t="s">
        <v>561</v>
      </c>
    </row>
    <row r="78">
      <c r="A78" s="10">
        <v>78.0</v>
      </c>
      <c r="B78" s="10" t="s">
        <v>13</v>
      </c>
      <c r="C78" s="11" t="s">
        <v>562</v>
      </c>
    </row>
    <row r="79">
      <c r="A79" s="10">
        <v>79.0</v>
      </c>
      <c r="B79" s="10" t="s">
        <v>13</v>
      </c>
      <c r="C79" s="11" t="s">
        <v>51</v>
      </c>
    </row>
    <row r="80">
      <c r="A80" s="10">
        <v>80.0</v>
      </c>
      <c r="B80" s="10" t="s">
        <v>13</v>
      </c>
      <c r="C80" s="11" t="s">
        <v>563</v>
      </c>
    </row>
    <row r="81">
      <c r="A81" s="10">
        <v>81.0</v>
      </c>
      <c r="B81" s="10" t="s">
        <v>13</v>
      </c>
      <c r="C81" s="11" t="s">
        <v>564</v>
      </c>
    </row>
    <row r="82">
      <c r="A82" s="10">
        <v>82.0</v>
      </c>
      <c r="B82" s="10" t="s">
        <v>13</v>
      </c>
      <c r="C82" s="11" t="s">
        <v>565</v>
      </c>
    </row>
    <row r="83">
      <c r="A83" s="10">
        <v>83.0</v>
      </c>
      <c r="B83" s="10" t="s">
        <v>13</v>
      </c>
      <c r="C83" s="11" t="s">
        <v>478</v>
      </c>
    </row>
    <row r="84">
      <c r="A84" s="10">
        <v>84.0</v>
      </c>
      <c r="B84" s="10" t="s">
        <v>13</v>
      </c>
      <c r="C84" s="11" t="s">
        <v>566</v>
      </c>
    </row>
    <row r="85">
      <c r="A85" s="10">
        <v>85.0</v>
      </c>
      <c r="B85" s="10" t="s">
        <v>13</v>
      </c>
      <c r="C85" s="11" t="s">
        <v>567</v>
      </c>
    </row>
    <row r="86">
      <c r="A86" s="10">
        <v>86.0</v>
      </c>
      <c r="B86" s="10" t="s">
        <v>13</v>
      </c>
      <c r="C86" s="11" t="s">
        <v>568</v>
      </c>
    </row>
    <row r="87">
      <c r="A87" s="10">
        <v>87.0</v>
      </c>
      <c r="B87" s="10" t="s">
        <v>13</v>
      </c>
      <c r="C87" s="11" t="s">
        <v>569</v>
      </c>
    </row>
    <row r="88">
      <c r="A88" s="10">
        <v>88.0</v>
      </c>
      <c r="B88" s="10" t="s">
        <v>13</v>
      </c>
      <c r="C88" s="11" t="s">
        <v>570</v>
      </c>
    </row>
    <row r="89">
      <c r="A89" s="10">
        <v>89.0</v>
      </c>
      <c r="B89" s="10" t="s">
        <v>13</v>
      </c>
      <c r="C89" s="11" t="s">
        <v>487</v>
      </c>
    </row>
    <row r="90">
      <c r="A90" s="10">
        <v>90.0</v>
      </c>
      <c r="B90" s="10" t="s">
        <v>13</v>
      </c>
      <c r="C90" s="11" t="s">
        <v>571</v>
      </c>
    </row>
    <row r="91">
      <c r="C91" s="12"/>
    </row>
    <row r="92">
      <c r="C92" s="12"/>
    </row>
    <row r="93">
      <c r="C93" s="12"/>
    </row>
    <row r="94">
      <c r="C94" s="12"/>
    </row>
    <row r="95">
      <c r="C95" s="12"/>
    </row>
    <row r="96">
      <c r="C96" s="12"/>
    </row>
    <row r="97">
      <c r="C97" s="12"/>
    </row>
    <row r="98">
      <c r="C98" s="12"/>
    </row>
    <row r="99">
      <c r="C99" s="12"/>
    </row>
    <row r="100">
      <c r="C100" s="12"/>
    </row>
    <row r="101">
      <c r="C101" s="12"/>
    </row>
    <row r="102">
      <c r="C102" s="12"/>
    </row>
    <row r="103">
      <c r="C103" s="12"/>
    </row>
    <row r="104">
      <c r="C104" s="12"/>
    </row>
    <row r="105">
      <c r="C105" s="12"/>
    </row>
    <row r="106">
      <c r="C106" s="12"/>
    </row>
    <row r="107">
      <c r="C107" s="12"/>
    </row>
    <row r="108">
      <c r="C108" s="12"/>
    </row>
    <row r="109">
      <c r="C109" s="12"/>
    </row>
    <row r="110">
      <c r="C110" s="12"/>
    </row>
    <row r="111">
      <c r="C111" s="12"/>
    </row>
    <row r="112">
      <c r="C112" s="12"/>
    </row>
    <row r="113">
      <c r="C113" s="12"/>
    </row>
    <row r="114">
      <c r="C114" s="12"/>
    </row>
    <row r="115">
      <c r="C115" s="12"/>
    </row>
    <row r="116">
      <c r="C116" s="12"/>
    </row>
    <row r="117">
      <c r="C117" s="12"/>
    </row>
    <row r="118">
      <c r="C118" s="12"/>
    </row>
    <row r="119">
      <c r="C119" s="12"/>
    </row>
    <row r="120">
      <c r="C120" s="12"/>
    </row>
    <row r="121">
      <c r="C121" s="12"/>
    </row>
    <row r="122">
      <c r="C122" s="12"/>
    </row>
    <row r="123">
      <c r="C123" s="12"/>
    </row>
    <row r="124">
      <c r="C124" s="12"/>
    </row>
    <row r="125">
      <c r="C125" s="12"/>
    </row>
    <row r="126">
      <c r="C126" s="12"/>
    </row>
    <row r="127">
      <c r="C127" s="12"/>
    </row>
    <row r="128">
      <c r="C128" s="12"/>
    </row>
    <row r="129">
      <c r="C129" s="12"/>
    </row>
    <row r="130">
      <c r="C130" s="12"/>
    </row>
    <row r="131">
      <c r="C131" s="12"/>
    </row>
    <row r="132">
      <c r="C132" s="12"/>
    </row>
    <row r="133">
      <c r="C133" s="12"/>
    </row>
    <row r="134">
      <c r="C134" s="12"/>
    </row>
    <row r="135">
      <c r="C135" s="12"/>
    </row>
    <row r="136">
      <c r="C136" s="12"/>
    </row>
    <row r="137">
      <c r="C137" s="12"/>
    </row>
    <row r="138">
      <c r="C138" s="12"/>
    </row>
    <row r="139">
      <c r="C139" s="12"/>
    </row>
    <row r="140">
      <c r="C140" s="12"/>
    </row>
    <row r="141">
      <c r="C141" s="12"/>
    </row>
    <row r="142">
      <c r="C142" s="12"/>
    </row>
    <row r="143">
      <c r="C143" s="12"/>
    </row>
    <row r="144">
      <c r="C144" s="12"/>
    </row>
    <row r="145">
      <c r="C145" s="12"/>
    </row>
    <row r="146">
      <c r="C146" s="12"/>
    </row>
    <row r="147">
      <c r="C147" s="12"/>
    </row>
    <row r="148">
      <c r="C148" s="12"/>
    </row>
    <row r="149">
      <c r="C149" s="12"/>
    </row>
    <row r="150">
      <c r="C150" s="12"/>
    </row>
    <row r="151">
      <c r="C151" s="12"/>
    </row>
    <row r="152">
      <c r="C152" s="12"/>
    </row>
    <row r="153">
      <c r="C153" s="12"/>
    </row>
    <row r="154">
      <c r="C154" s="12"/>
    </row>
    <row r="155">
      <c r="C155" s="12"/>
    </row>
    <row r="156">
      <c r="C156" s="12"/>
    </row>
    <row r="157">
      <c r="C157" s="12"/>
    </row>
    <row r="158">
      <c r="C158" s="12"/>
    </row>
    <row r="159">
      <c r="C159" s="12"/>
    </row>
    <row r="160">
      <c r="C160" s="12"/>
    </row>
    <row r="161">
      <c r="C161" s="12"/>
    </row>
    <row r="162">
      <c r="C162" s="12"/>
    </row>
    <row r="163">
      <c r="C163" s="12"/>
    </row>
    <row r="164">
      <c r="C164" s="12"/>
    </row>
    <row r="165">
      <c r="C165" s="12"/>
    </row>
    <row r="166">
      <c r="C166" s="12"/>
    </row>
    <row r="167">
      <c r="C167" s="12"/>
    </row>
    <row r="168">
      <c r="C168" s="12"/>
    </row>
    <row r="169">
      <c r="C169" s="12"/>
    </row>
    <row r="170">
      <c r="C170" s="12"/>
    </row>
    <row r="171">
      <c r="C171" s="12"/>
    </row>
    <row r="172">
      <c r="C172" s="12"/>
    </row>
    <row r="173">
      <c r="C173" s="12"/>
    </row>
    <row r="174">
      <c r="C174" s="12"/>
    </row>
    <row r="175">
      <c r="C175" s="12"/>
    </row>
    <row r="176">
      <c r="C176" s="12"/>
    </row>
    <row r="177">
      <c r="C177" s="12"/>
    </row>
    <row r="178">
      <c r="C178" s="12"/>
    </row>
    <row r="179">
      <c r="C179" s="12"/>
    </row>
    <row r="180">
      <c r="C180" s="12"/>
    </row>
    <row r="181">
      <c r="C181" s="12"/>
    </row>
    <row r="182">
      <c r="C182" s="12"/>
    </row>
    <row r="183">
      <c r="C183" s="12"/>
    </row>
    <row r="184">
      <c r="C184" s="12"/>
    </row>
    <row r="185">
      <c r="C185" s="12"/>
    </row>
    <row r="186">
      <c r="C186" s="12"/>
    </row>
    <row r="187">
      <c r="C187" s="12"/>
    </row>
    <row r="188">
      <c r="C188" s="12"/>
    </row>
    <row r="189">
      <c r="C189" s="12"/>
    </row>
    <row r="190">
      <c r="C190" s="12"/>
    </row>
    <row r="191">
      <c r="C191" s="12"/>
    </row>
    <row r="192">
      <c r="C192" s="12"/>
    </row>
    <row r="193">
      <c r="C193" s="12"/>
    </row>
    <row r="194">
      <c r="C194" s="12"/>
    </row>
    <row r="195">
      <c r="C195" s="12"/>
    </row>
    <row r="196">
      <c r="C196" s="12"/>
    </row>
    <row r="197">
      <c r="C197" s="12"/>
    </row>
    <row r="198">
      <c r="C198" s="12"/>
    </row>
    <row r="199">
      <c r="C199" s="12"/>
    </row>
    <row r="200">
      <c r="C200" s="12"/>
    </row>
    <row r="201">
      <c r="C201" s="12"/>
    </row>
    <row r="202">
      <c r="C202" s="12"/>
    </row>
    <row r="203">
      <c r="C203" s="12"/>
    </row>
    <row r="204">
      <c r="C204" s="12"/>
    </row>
    <row r="205">
      <c r="C205" s="12"/>
    </row>
    <row r="206">
      <c r="C206" s="12"/>
    </row>
    <row r="207">
      <c r="C207" s="12"/>
    </row>
    <row r="208">
      <c r="C208" s="12"/>
    </row>
    <row r="209">
      <c r="C209" s="12"/>
    </row>
    <row r="210">
      <c r="C210" s="12"/>
    </row>
    <row r="211">
      <c r="C211" s="12"/>
    </row>
    <row r="212">
      <c r="C212" s="12"/>
    </row>
    <row r="213">
      <c r="C213" s="12"/>
    </row>
    <row r="214">
      <c r="C214" s="12"/>
    </row>
    <row r="215">
      <c r="C215" s="12"/>
    </row>
    <row r="216">
      <c r="C216" s="12"/>
    </row>
    <row r="217">
      <c r="C217" s="12"/>
    </row>
    <row r="218">
      <c r="C218" s="12"/>
    </row>
    <row r="219">
      <c r="C219" s="12"/>
    </row>
    <row r="220">
      <c r="C220" s="12"/>
    </row>
    <row r="221">
      <c r="C221" s="12"/>
    </row>
    <row r="222">
      <c r="C222" s="12"/>
    </row>
    <row r="223">
      <c r="C223" s="12"/>
    </row>
    <row r="224">
      <c r="C224" s="12"/>
    </row>
    <row r="225">
      <c r="C225" s="12"/>
    </row>
    <row r="226">
      <c r="C226" s="12"/>
    </row>
    <row r="227">
      <c r="C227" s="12"/>
    </row>
    <row r="228">
      <c r="C228" s="12"/>
    </row>
    <row r="229">
      <c r="C229" s="12"/>
    </row>
    <row r="230">
      <c r="C230" s="12"/>
    </row>
    <row r="231">
      <c r="C231" s="12"/>
    </row>
    <row r="232">
      <c r="C232" s="12"/>
    </row>
    <row r="233">
      <c r="C233" s="12"/>
    </row>
    <row r="234">
      <c r="C234" s="12"/>
    </row>
    <row r="235">
      <c r="C235" s="12"/>
    </row>
    <row r="236">
      <c r="C236" s="12"/>
    </row>
    <row r="237">
      <c r="C237" s="12"/>
    </row>
    <row r="238">
      <c r="C238" s="12"/>
    </row>
    <row r="239">
      <c r="C239" s="12"/>
    </row>
    <row r="240">
      <c r="C240" s="12"/>
    </row>
    <row r="241">
      <c r="C241" s="12"/>
    </row>
    <row r="242">
      <c r="C242" s="12"/>
    </row>
    <row r="243">
      <c r="C243" s="12"/>
    </row>
    <row r="244">
      <c r="C244" s="12"/>
    </row>
    <row r="245">
      <c r="C245" s="12"/>
    </row>
    <row r="246">
      <c r="C246" s="12"/>
    </row>
    <row r="247">
      <c r="C247" s="12"/>
    </row>
    <row r="248">
      <c r="C248" s="12"/>
    </row>
    <row r="249">
      <c r="C249" s="12"/>
    </row>
    <row r="250">
      <c r="C250" s="12"/>
    </row>
    <row r="251">
      <c r="C251" s="12"/>
    </row>
    <row r="252">
      <c r="C252" s="12"/>
    </row>
    <row r="253">
      <c r="C253" s="12"/>
    </row>
    <row r="254">
      <c r="C254" s="12"/>
    </row>
    <row r="255">
      <c r="C255" s="12"/>
    </row>
    <row r="256">
      <c r="C256" s="12"/>
    </row>
    <row r="257">
      <c r="C257" s="12"/>
    </row>
    <row r="258">
      <c r="C258" s="12"/>
    </row>
    <row r="259">
      <c r="C259" s="12"/>
    </row>
    <row r="260">
      <c r="C260" s="12"/>
    </row>
    <row r="261">
      <c r="C261" s="12"/>
    </row>
    <row r="262">
      <c r="C262" s="12"/>
    </row>
    <row r="263">
      <c r="C263" s="12"/>
    </row>
    <row r="264">
      <c r="C264" s="12"/>
    </row>
    <row r="265">
      <c r="C265" s="12"/>
    </row>
    <row r="266">
      <c r="C266" s="12"/>
    </row>
    <row r="267">
      <c r="C267" s="12"/>
    </row>
    <row r="268">
      <c r="C268" s="12"/>
    </row>
    <row r="269">
      <c r="C269" s="12"/>
    </row>
    <row r="270">
      <c r="C270" s="12"/>
    </row>
    <row r="271">
      <c r="C271" s="12"/>
    </row>
    <row r="272">
      <c r="C272" s="12"/>
    </row>
    <row r="273">
      <c r="C273" s="12"/>
    </row>
    <row r="274">
      <c r="C274" s="12"/>
    </row>
    <row r="275">
      <c r="C275" s="12"/>
    </row>
    <row r="276">
      <c r="C276" s="12"/>
    </row>
    <row r="277">
      <c r="C277" s="12"/>
    </row>
    <row r="278">
      <c r="C278" s="12"/>
    </row>
    <row r="279">
      <c r="C279" s="12"/>
    </row>
    <row r="280">
      <c r="C280" s="12"/>
    </row>
    <row r="281">
      <c r="C281" s="12"/>
    </row>
    <row r="282">
      <c r="C282" s="12"/>
    </row>
    <row r="283">
      <c r="C283" s="12"/>
    </row>
    <row r="284">
      <c r="C284" s="12"/>
    </row>
    <row r="285">
      <c r="C285" s="12"/>
    </row>
    <row r="286">
      <c r="C286" s="12"/>
    </row>
    <row r="287">
      <c r="C287" s="12"/>
    </row>
    <row r="288">
      <c r="C288" s="12"/>
    </row>
    <row r="289">
      <c r="C289" s="12"/>
    </row>
    <row r="290">
      <c r="C290" s="12"/>
    </row>
    <row r="291">
      <c r="C291" s="12"/>
    </row>
    <row r="292">
      <c r="C292" s="12"/>
    </row>
    <row r="293">
      <c r="C293" s="12"/>
    </row>
    <row r="294">
      <c r="C294" s="12"/>
    </row>
    <row r="295">
      <c r="C295" s="12"/>
    </row>
    <row r="296">
      <c r="C296" s="12"/>
    </row>
    <row r="297">
      <c r="C297" s="12"/>
    </row>
    <row r="298">
      <c r="C298" s="12"/>
    </row>
    <row r="299">
      <c r="C299" s="12"/>
    </row>
    <row r="300">
      <c r="C300" s="12"/>
    </row>
    <row r="301">
      <c r="C301" s="12"/>
    </row>
    <row r="302">
      <c r="C302" s="12"/>
    </row>
    <row r="303">
      <c r="C303" s="12"/>
    </row>
    <row r="304">
      <c r="C304" s="12"/>
    </row>
    <row r="305">
      <c r="C305" s="12"/>
    </row>
    <row r="306">
      <c r="C306" s="12"/>
    </row>
    <row r="307">
      <c r="C307" s="12"/>
    </row>
    <row r="308">
      <c r="C308" s="12"/>
    </row>
    <row r="309">
      <c r="C309" s="12"/>
    </row>
    <row r="310">
      <c r="C310" s="12"/>
    </row>
    <row r="311">
      <c r="C311" s="12"/>
    </row>
    <row r="312">
      <c r="C312" s="12"/>
    </row>
    <row r="313">
      <c r="C313" s="12"/>
    </row>
    <row r="314">
      <c r="C314" s="12"/>
    </row>
    <row r="315">
      <c r="C315" s="12"/>
    </row>
    <row r="316">
      <c r="C316" s="12"/>
    </row>
    <row r="317">
      <c r="C317" s="12"/>
    </row>
    <row r="318">
      <c r="C318" s="12"/>
    </row>
    <row r="319">
      <c r="C319" s="12"/>
    </row>
    <row r="320">
      <c r="C320" s="12"/>
    </row>
    <row r="321">
      <c r="C321" s="12"/>
    </row>
    <row r="322">
      <c r="C322" s="12"/>
    </row>
    <row r="323">
      <c r="C323" s="12"/>
    </row>
    <row r="324">
      <c r="C324" s="12"/>
    </row>
    <row r="325">
      <c r="C325" s="12"/>
    </row>
    <row r="326">
      <c r="C326" s="12"/>
    </row>
    <row r="327">
      <c r="C327" s="12"/>
    </row>
    <row r="328">
      <c r="C328" s="12"/>
    </row>
    <row r="329">
      <c r="C329" s="12"/>
    </row>
    <row r="330">
      <c r="C330" s="12"/>
    </row>
    <row r="331">
      <c r="C331" s="12"/>
    </row>
    <row r="332">
      <c r="C332" s="12"/>
    </row>
    <row r="333">
      <c r="C333" s="12"/>
    </row>
    <row r="334">
      <c r="C334" s="12"/>
    </row>
    <row r="335">
      <c r="C335" s="12"/>
    </row>
    <row r="336">
      <c r="C336" s="12"/>
    </row>
    <row r="337">
      <c r="C337" s="12"/>
    </row>
    <row r="338">
      <c r="C338" s="12"/>
    </row>
    <row r="339">
      <c r="C339" s="12"/>
    </row>
    <row r="340">
      <c r="C340" s="12"/>
    </row>
    <row r="341">
      <c r="C341" s="12"/>
    </row>
    <row r="342">
      <c r="C342" s="12"/>
    </row>
    <row r="343">
      <c r="C343" s="12"/>
    </row>
    <row r="344">
      <c r="C344" s="12"/>
    </row>
    <row r="345">
      <c r="C345" s="12"/>
    </row>
    <row r="346">
      <c r="C346" s="12"/>
    </row>
    <row r="347">
      <c r="C347" s="12"/>
    </row>
    <row r="348">
      <c r="C348" s="12"/>
    </row>
    <row r="349">
      <c r="C349" s="12"/>
    </row>
    <row r="350">
      <c r="C350" s="12"/>
    </row>
    <row r="351">
      <c r="C351" s="12"/>
    </row>
    <row r="352">
      <c r="C352" s="12"/>
    </row>
    <row r="353">
      <c r="C353" s="12"/>
    </row>
    <row r="354">
      <c r="C354" s="12"/>
    </row>
    <row r="355">
      <c r="C355" s="12"/>
    </row>
    <row r="356">
      <c r="C356" s="12"/>
    </row>
    <row r="357">
      <c r="C357" s="12"/>
    </row>
    <row r="358">
      <c r="C358" s="12"/>
    </row>
    <row r="359">
      <c r="C359" s="12"/>
    </row>
    <row r="360">
      <c r="C360" s="12"/>
    </row>
    <row r="361">
      <c r="C361" s="12"/>
    </row>
    <row r="362">
      <c r="C362" s="12"/>
    </row>
    <row r="363">
      <c r="C363" s="12"/>
    </row>
    <row r="364">
      <c r="C364" s="12"/>
    </row>
    <row r="365">
      <c r="C365" s="12"/>
    </row>
    <row r="366">
      <c r="C366" s="12"/>
    </row>
    <row r="367">
      <c r="C367" s="12"/>
    </row>
    <row r="368">
      <c r="C368" s="12"/>
    </row>
    <row r="369">
      <c r="C369" s="12"/>
    </row>
    <row r="370">
      <c r="C370" s="12"/>
    </row>
    <row r="371">
      <c r="C371" s="12"/>
    </row>
    <row r="372">
      <c r="C372" s="12"/>
    </row>
    <row r="373">
      <c r="C373" s="12"/>
    </row>
    <row r="374">
      <c r="C374" s="12"/>
    </row>
    <row r="375">
      <c r="C375" s="12"/>
    </row>
    <row r="376">
      <c r="C376" s="12"/>
    </row>
    <row r="377">
      <c r="C377" s="12"/>
    </row>
    <row r="378">
      <c r="C378" s="12"/>
    </row>
    <row r="379">
      <c r="C379" s="12"/>
    </row>
    <row r="380">
      <c r="C380" s="12"/>
    </row>
    <row r="381">
      <c r="C381" s="12"/>
    </row>
    <row r="382">
      <c r="C382" s="12"/>
    </row>
    <row r="383">
      <c r="C383" s="12"/>
    </row>
    <row r="384">
      <c r="C384" s="12"/>
    </row>
    <row r="385">
      <c r="C385" s="12"/>
    </row>
    <row r="386">
      <c r="C386" s="12"/>
    </row>
    <row r="387">
      <c r="C387" s="12"/>
    </row>
    <row r="388">
      <c r="C388" s="12"/>
    </row>
    <row r="389">
      <c r="C389" s="12"/>
    </row>
    <row r="390">
      <c r="C390" s="12"/>
    </row>
    <row r="391">
      <c r="C391" s="12"/>
    </row>
    <row r="392">
      <c r="C392" s="12"/>
    </row>
    <row r="393">
      <c r="C393" s="12"/>
    </row>
    <row r="394">
      <c r="C394" s="12"/>
    </row>
    <row r="395">
      <c r="C395" s="12"/>
    </row>
    <row r="396">
      <c r="C396" s="12"/>
    </row>
    <row r="397">
      <c r="C397" s="12"/>
    </row>
    <row r="398">
      <c r="C398" s="12"/>
    </row>
    <row r="399">
      <c r="C399" s="12"/>
    </row>
    <row r="400">
      <c r="C400" s="12"/>
    </row>
    <row r="401">
      <c r="C401" s="12"/>
    </row>
    <row r="402">
      <c r="C402" s="12"/>
    </row>
    <row r="403">
      <c r="C403" s="12"/>
    </row>
    <row r="404">
      <c r="C404" s="12"/>
    </row>
    <row r="405">
      <c r="C405" s="12"/>
    </row>
    <row r="406">
      <c r="C406" s="12"/>
    </row>
    <row r="407">
      <c r="C407" s="12"/>
    </row>
    <row r="408">
      <c r="C408" s="12"/>
    </row>
    <row r="409">
      <c r="C409" s="12"/>
    </row>
    <row r="410">
      <c r="C410" s="12"/>
    </row>
    <row r="411">
      <c r="C411" s="12"/>
    </row>
    <row r="412">
      <c r="C412" s="12"/>
    </row>
    <row r="413">
      <c r="C413" s="12"/>
    </row>
    <row r="414">
      <c r="C414" s="12"/>
    </row>
    <row r="415">
      <c r="C415" s="12"/>
    </row>
    <row r="416">
      <c r="C416" s="12"/>
    </row>
    <row r="417">
      <c r="C417" s="12"/>
    </row>
    <row r="418">
      <c r="C418" s="12"/>
    </row>
    <row r="419">
      <c r="C419" s="12"/>
    </row>
    <row r="420">
      <c r="C420" s="12"/>
    </row>
    <row r="421">
      <c r="C421" s="12"/>
    </row>
    <row r="422">
      <c r="C422" s="12"/>
    </row>
    <row r="423">
      <c r="C423" s="12"/>
    </row>
    <row r="424">
      <c r="C424" s="12"/>
    </row>
    <row r="425">
      <c r="C425" s="12"/>
    </row>
    <row r="426">
      <c r="C426" s="12"/>
    </row>
    <row r="427">
      <c r="C427" s="12"/>
    </row>
    <row r="428">
      <c r="C428" s="12"/>
    </row>
    <row r="429">
      <c r="C429" s="12"/>
    </row>
    <row r="430">
      <c r="C430" s="12"/>
    </row>
    <row r="431">
      <c r="C431" s="12"/>
    </row>
    <row r="432">
      <c r="C432" s="12"/>
    </row>
    <row r="433">
      <c r="C433" s="12"/>
    </row>
    <row r="434">
      <c r="C434" s="12"/>
    </row>
    <row r="435">
      <c r="C435" s="12"/>
    </row>
    <row r="436">
      <c r="C436" s="12"/>
    </row>
    <row r="437">
      <c r="C437" s="12"/>
    </row>
    <row r="438">
      <c r="C438" s="12"/>
    </row>
    <row r="439">
      <c r="C439" s="12"/>
    </row>
    <row r="440">
      <c r="C440" s="12"/>
    </row>
    <row r="441">
      <c r="C441" s="12"/>
    </row>
    <row r="442">
      <c r="C442" s="12"/>
    </row>
    <row r="443">
      <c r="C443" s="12"/>
    </row>
    <row r="444">
      <c r="C444" s="12"/>
    </row>
    <row r="445">
      <c r="C445" s="12"/>
    </row>
    <row r="446">
      <c r="C446" s="12"/>
    </row>
    <row r="447">
      <c r="C447" s="12"/>
    </row>
    <row r="448">
      <c r="C448" s="12"/>
    </row>
    <row r="449">
      <c r="C449" s="12"/>
    </row>
    <row r="450">
      <c r="C450" s="12"/>
    </row>
    <row r="451">
      <c r="C451" s="12"/>
    </row>
    <row r="452">
      <c r="C452" s="12"/>
    </row>
    <row r="453">
      <c r="C453" s="12"/>
    </row>
    <row r="454">
      <c r="C454" s="12"/>
    </row>
    <row r="455">
      <c r="C455" s="12"/>
    </row>
    <row r="456">
      <c r="C456" s="12"/>
    </row>
    <row r="457">
      <c r="C457" s="12"/>
    </row>
    <row r="458">
      <c r="C458" s="12"/>
    </row>
    <row r="459">
      <c r="C459" s="12"/>
    </row>
    <row r="460">
      <c r="C460" s="12"/>
    </row>
    <row r="461">
      <c r="C461" s="12"/>
    </row>
    <row r="462">
      <c r="C462" s="12"/>
    </row>
    <row r="463">
      <c r="C463" s="12"/>
    </row>
    <row r="464">
      <c r="C464" s="12"/>
    </row>
    <row r="465">
      <c r="C465" s="12"/>
    </row>
    <row r="466">
      <c r="C466" s="12"/>
    </row>
    <row r="467">
      <c r="C467" s="12"/>
    </row>
    <row r="468">
      <c r="C468" s="12"/>
    </row>
    <row r="469">
      <c r="C469" s="12"/>
    </row>
    <row r="470">
      <c r="C470" s="12"/>
    </row>
    <row r="471">
      <c r="C471" s="12"/>
    </row>
    <row r="472">
      <c r="C472" s="12"/>
    </row>
    <row r="473">
      <c r="C473" s="12"/>
    </row>
    <row r="474">
      <c r="C474" s="12"/>
    </row>
    <row r="475">
      <c r="C475" s="12"/>
    </row>
    <row r="476">
      <c r="C476" s="12"/>
    </row>
    <row r="477">
      <c r="C477" s="12"/>
    </row>
    <row r="478">
      <c r="C478" s="12"/>
    </row>
    <row r="479">
      <c r="C479" s="12"/>
    </row>
    <row r="480">
      <c r="C480" s="12"/>
    </row>
    <row r="481">
      <c r="C481" s="12"/>
    </row>
    <row r="482">
      <c r="C482" s="12"/>
    </row>
    <row r="483">
      <c r="C483" s="12"/>
    </row>
    <row r="484">
      <c r="C484" s="12"/>
    </row>
    <row r="485">
      <c r="C485" s="12"/>
    </row>
    <row r="486">
      <c r="C486" s="12"/>
    </row>
    <row r="487">
      <c r="C487" s="12"/>
    </row>
    <row r="488">
      <c r="C488" s="12"/>
    </row>
    <row r="489">
      <c r="C489" s="12"/>
    </row>
    <row r="490">
      <c r="C490" s="12"/>
    </row>
    <row r="491">
      <c r="C491" s="12"/>
    </row>
    <row r="492">
      <c r="C492" s="12"/>
    </row>
    <row r="493">
      <c r="C493" s="12"/>
    </row>
    <row r="494">
      <c r="C494" s="12"/>
    </row>
    <row r="495">
      <c r="C495" s="12"/>
    </row>
    <row r="496">
      <c r="C496" s="12"/>
    </row>
    <row r="497">
      <c r="C497" s="12"/>
    </row>
    <row r="498">
      <c r="C498" s="12"/>
    </row>
    <row r="499">
      <c r="C499" s="12"/>
    </row>
    <row r="500">
      <c r="C500" s="12"/>
    </row>
    <row r="501">
      <c r="C501" s="12"/>
    </row>
    <row r="502">
      <c r="C502" s="12"/>
    </row>
    <row r="503">
      <c r="C503" s="12"/>
    </row>
    <row r="504">
      <c r="C504" s="12"/>
    </row>
    <row r="505">
      <c r="C505" s="12"/>
    </row>
    <row r="506">
      <c r="C506" s="12"/>
    </row>
    <row r="507">
      <c r="C507" s="12"/>
    </row>
    <row r="508">
      <c r="C508" s="12"/>
    </row>
    <row r="509">
      <c r="C509" s="12"/>
    </row>
    <row r="510">
      <c r="C510" s="12"/>
    </row>
    <row r="511">
      <c r="C511" s="12"/>
    </row>
    <row r="512">
      <c r="C512" s="12"/>
    </row>
    <row r="513">
      <c r="C513" s="12"/>
    </row>
    <row r="514">
      <c r="C514" s="12"/>
    </row>
    <row r="515">
      <c r="C515" s="12"/>
    </row>
    <row r="516">
      <c r="C516" s="12"/>
    </row>
    <row r="517">
      <c r="C517" s="12"/>
    </row>
    <row r="518">
      <c r="C518" s="12"/>
    </row>
    <row r="519">
      <c r="C519" s="12"/>
    </row>
    <row r="520">
      <c r="C520" s="12"/>
    </row>
    <row r="521">
      <c r="C521" s="12"/>
    </row>
    <row r="522">
      <c r="C522" s="12"/>
    </row>
    <row r="523">
      <c r="C523" s="12"/>
    </row>
    <row r="524">
      <c r="C524" s="12"/>
    </row>
    <row r="525">
      <c r="C525" s="12"/>
    </row>
    <row r="526">
      <c r="C526" s="12"/>
    </row>
    <row r="527">
      <c r="C527" s="12"/>
    </row>
    <row r="528">
      <c r="C528" s="12"/>
    </row>
    <row r="529">
      <c r="C529" s="12"/>
    </row>
    <row r="530">
      <c r="C530" s="12"/>
    </row>
    <row r="531">
      <c r="C531" s="12"/>
    </row>
    <row r="532">
      <c r="C532" s="12"/>
    </row>
    <row r="533">
      <c r="C533" s="12"/>
    </row>
    <row r="534">
      <c r="C534" s="12"/>
    </row>
    <row r="535">
      <c r="C535" s="12"/>
    </row>
    <row r="536">
      <c r="C536" s="12"/>
    </row>
    <row r="537">
      <c r="C537" s="12"/>
    </row>
    <row r="538">
      <c r="C538" s="12"/>
    </row>
    <row r="539">
      <c r="C539" s="12"/>
    </row>
    <row r="540">
      <c r="C540" s="12"/>
    </row>
    <row r="541">
      <c r="C541" s="12"/>
    </row>
    <row r="542">
      <c r="C542" s="12"/>
    </row>
    <row r="543">
      <c r="C543" s="12"/>
    </row>
    <row r="544">
      <c r="C544" s="12"/>
    </row>
    <row r="545">
      <c r="C545" s="12"/>
    </row>
    <row r="546">
      <c r="C546" s="12"/>
    </row>
    <row r="547">
      <c r="C547" s="12"/>
    </row>
    <row r="548">
      <c r="C548" s="12"/>
    </row>
    <row r="549">
      <c r="C549" s="12"/>
    </row>
    <row r="550">
      <c r="C550" s="12"/>
    </row>
    <row r="551">
      <c r="C551" s="12"/>
    </row>
    <row r="552">
      <c r="C552" s="12"/>
    </row>
    <row r="553">
      <c r="C553" s="12"/>
    </row>
    <row r="554">
      <c r="C554" s="12"/>
    </row>
    <row r="555">
      <c r="C555" s="12"/>
    </row>
    <row r="556">
      <c r="C556" s="12"/>
    </row>
    <row r="557">
      <c r="C557" s="12"/>
    </row>
    <row r="558">
      <c r="C558" s="12"/>
    </row>
    <row r="559">
      <c r="C559" s="12"/>
    </row>
    <row r="560">
      <c r="C560" s="12"/>
    </row>
    <row r="561">
      <c r="C561" s="12"/>
    </row>
    <row r="562">
      <c r="C562" s="12"/>
    </row>
    <row r="563">
      <c r="C563" s="12"/>
    </row>
    <row r="564">
      <c r="C564" s="12"/>
    </row>
    <row r="565">
      <c r="C565" s="12"/>
    </row>
    <row r="566">
      <c r="C566" s="12"/>
    </row>
    <row r="567">
      <c r="C567" s="12"/>
    </row>
    <row r="568">
      <c r="C568" s="12"/>
    </row>
    <row r="569">
      <c r="C569" s="12"/>
    </row>
    <row r="570">
      <c r="C570" s="12"/>
    </row>
    <row r="571">
      <c r="C571" s="12"/>
    </row>
    <row r="572">
      <c r="C572" s="12"/>
    </row>
    <row r="573">
      <c r="C573" s="12"/>
    </row>
    <row r="574">
      <c r="C574" s="12"/>
    </row>
    <row r="575">
      <c r="C575" s="12"/>
    </row>
    <row r="576">
      <c r="C576" s="12"/>
    </row>
    <row r="577">
      <c r="C577" s="12"/>
    </row>
    <row r="578">
      <c r="C578" s="12"/>
    </row>
    <row r="579">
      <c r="C579" s="12"/>
    </row>
    <row r="580">
      <c r="C580" s="12"/>
    </row>
    <row r="581">
      <c r="C581" s="12"/>
    </row>
    <row r="582">
      <c r="C582" s="12"/>
    </row>
    <row r="583">
      <c r="C583" s="12"/>
    </row>
    <row r="584">
      <c r="C584" s="12"/>
    </row>
    <row r="585">
      <c r="C585" s="12"/>
    </row>
    <row r="586">
      <c r="C586" s="12"/>
    </row>
    <row r="587">
      <c r="C587" s="12"/>
    </row>
    <row r="588">
      <c r="C588" s="12"/>
    </row>
    <row r="589">
      <c r="C589" s="12"/>
    </row>
    <row r="590">
      <c r="C590" s="12"/>
    </row>
    <row r="591">
      <c r="C591" s="12"/>
    </row>
    <row r="592">
      <c r="C592" s="12"/>
    </row>
    <row r="593">
      <c r="C593" s="12"/>
    </row>
    <row r="594">
      <c r="C594" s="12"/>
    </row>
    <row r="595">
      <c r="C595" s="12"/>
    </row>
    <row r="596">
      <c r="C596" s="12"/>
    </row>
    <row r="597">
      <c r="C597" s="12"/>
    </row>
    <row r="598">
      <c r="C598" s="12"/>
    </row>
    <row r="599">
      <c r="C599" s="12"/>
    </row>
    <row r="600">
      <c r="C600" s="12"/>
    </row>
    <row r="601">
      <c r="C601" s="12"/>
    </row>
    <row r="602">
      <c r="C602" s="12"/>
    </row>
    <row r="603">
      <c r="C603" s="12"/>
    </row>
    <row r="604">
      <c r="C604" s="12"/>
    </row>
    <row r="605">
      <c r="C605" s="12"/>
    </row>
    <row r="606">
      <c r="C606" s="12"/>
    </row>
    <row r="607">
      <c r="C607" s="12"/>
    </row>
    <row r="608">
      <c r="C608" s="12"/>
    </row>
    <row r="609">
      <c r="C609" s="12"/>
    </row>
    <row r="610">
      <c r="C610" s="12"/>
    </row>
    <row r="611">
      <c r="C611" s="12"/>
    </row>
    <row r="612">
      <c r="C612" s="12"/>
    </row>
    <row r="613">
      <c r="C613" s="12"/>
    </row>
    <row r="614">
      <c r="C614" s="12"/>
    </row>
    <row r="615">
      <c r="C615" s="12"/>
    </row>
    <row r="616">
      <c r="C616" s="12"/>
    </row>
    <row r="617">
      <c r="C617" s="12"/>
    </row>
    <row r="618">
      <c r="C618" s="12"/>
    </row>
    <row r="619">
      <c r="C619" s="12"/>
    </row>
    <row r="620">
      <c r="C620" s="12"/>
    </row>
    <row r="621">
      <c r="C621" s="12"/>
    </row>
    <row r="622">
      <c r="C622" s="12"/>
    </row>
    <row r="623">
      <c r="C623" s="12"/>
    </row>
    <row r="624">
      <c r="C624" s="12"/>
    </row>
    <row r="625">
      <c r="C625" s="12"/>
    </row>
    <row r="626">
      <c r="C626" s="12"/>
    </row>
    <row r="627">
      <c r="C627" s="12"/>
    </row>
    <row r="628">
      <c r="C628" s="12"/>
    </row>
    <row r="629">
      <c r="C629" s="12"/>
    </row>
    <row r="630">
      <c r="C630" s="12"/>
    </row>
    <row r="631">
      <c r="C631" s="12"/>
    </row>
    <row r="632">
      <c r="C632" s="12"/>
    </row>
    <row r="633">
      <c r="C633" s="12"/>
    </row>
    <row r="634">
      <c r="C634" s="12"/>
    </row>
    <row r="635">
      <c r="C635" s="12"/>
    </row>
    <row r="636">
      <c r="C636" s="12"/>
    </row>
    <row r="637">
      <c r="C637" s="12"/>
    </row>
    <row r="638">
      <c r="C638" s="12"/>
    </row>
    <row r="639">
      <c r="C639" s="12"/>
    </row>
    <row r="640">
      <c r="C640" s="12"/>
    </row>
    <row r="641">
      <c r="C641" s="12"/>
    </row>
    <row r="642">
      <c r="C642" s="12"/>
    </row>
    <row r="643">
      <c r="C643" s="12"/>
    </row>
    <row r="644">
      <c r="C644" s="12"/>
    </row>
    <row r="645">
      <c r="C645" s="12"/>
    </row>
    <row r="646">
      <c r="C646" s="12"/>
    </row>
    <row r="647">
      <c r="C647" s="12"/>
    </row>
    <row r="648">
      <c r="C648" s="12"/>
    </row>
    <row r="649">
      <c r="C649" s="12"/>
    </row>
    <row r="650">
      <c r="C650" s="12"/>
    </row>
    <row r="651">
      <c r="C651" s="12"/>
    </row>
    <row r="652">
      <c r="C652" s="12"/>
    </row>
    <row r="653">
      <c r="C653" s="12"/>
    </row>
    <row r="654">
      <c r="C654" s="12"/>
    </row>
    <row r="655">
      <c r="C655" s="12"/>
    </row>
    <row r="656">
      <c r="C656" s="12"/>
    </row>
    <row r="657">
      <c r="C657" s="12"/>
    </row>
    <row r="658">
      <c r="C658" s="12"/>
    </row>
    <row r="659">
      <c r="C659" s="12"/>
    </row>
    <row r="660">
      <c r="C660" s="12"/>
    </row>
    <row r="661">
      <c r="C661" s="12"/>
    </row>
    <row r="662">
      <c r="C662" s="12"/>
    </row>
    <row r="663">
      <c r="C663" s="12"/>
    </row>
    <row r="664">
      <c r="C664" s="12"/>
    </row>
    <row r="665">
      <c r="C665" s="12"/>
    </row>
    <row r="666">
      <c r="C666" s="12"/>
    </row>
    <row r="667">
      <c r="C667" s="12"/>
    </row>
    <row r="668">
      <c r="C668" s="12"/>
    </row>
    <row r="669">
      <c r="C669" s="12"/>
    </row>
    <row r="670">
      <c r="C670" s="12"/>
    </row>
    <row r="671">
      <c r="C671" s="12"/>
    </row>
    <row r="672">
      <c r="C672" s="12"/>
    </row>
    <row r="673">
      <c r="C673" s="12"/>
    </row>
    <row r="674">
      <c r="C674" s="12"/>
    </row>
    <row r="675">
      <c r="C675" s="12"/>
    </row>
    <row r="676">
      <c r="C676" s="12"/>
    </row>
    <row r="677">
      <c r="C677" s="12"/>
    </row>
    <row r="678">
      <c r="C678" s="12"/>
    </row>
    <row r="679">
      <c r="C679" s="12"/>
    </row>
    <row r="680">
      <c r="C680" s="12"/>
    </row>
    <row r="681">
      <c r="C681" s="12"/>
    </row>
    <row r="682">
      <c r="C682" s="12"/>
    </row>
    <row r="683">
      <c r="C683" s="12"/>
    </row>
    <row r="684">
      <c r="C684" s="12"/>
    </row>
    <row r="685">
      <c r="C685" s="12"/>
    </row>
    <row r="686">
      <c r="C686" s="12"/>
    </row>
    <row r="687">
      <c r="C687" s="12"/>
    </row>
    <row r="688">
      <c r="C688" s="12"/>
    </row>
    <row r="689">
      <c r="C689" s="12"/>
    </row>
    <row r="690">
      <c r="C690" s="12"/>
    </row>
    <row r="691">
      <c r="C691" s="12"/>
    </row>
    <row r="692">
      <c r="C692" s="12"/>
    </row>
    <row r="693">
      <c r="C693" s="12"/>
    </row>
    <row r="694">
      <c r="C694" s="12"/>
    </row>
    <row r="695">
      <c r="C695" s="12"/>
    </row>
    <row r="696">
      <c r="C696" s="12"/>
    </row>
    <row r="697">
      <c r="C697" s="12"/>
    </row>
    <row r="698">
      <c r="C698" s="12"/>
    </row>
    <row r="699">
      <c r="C699" s="12"/>
    </row>
    <row r="700">
      <c r="C700" s="12"/>
    </row>
    <row r="701">
      <c r="C701" s="12"/>
    </row>
    <row r="702">
      <c r="C702" s="12"/>
    </row>
    <row r="703">
      <c r="C703" s="12"/>
    </row>
    <row r="704">
      <c r="C704" s="12"/>
    </row>
    <row r="705">
      <c r="C705" s="12"/>
    </row>
    <row r="706">
      <c r="C706" s="12"/>
    </row>
    <row r="707">
      <c r="C707" s="12"/>
    </row>
    <row r="708">
      <c r="C708" s="12"/>
    </row>
    <row r="709">
      <c r="C709" s="12"/>
    </row>
    <row r="710">
      <c r="C710" s="12"/>
    </row>
    <row r="711">
      <c r="C711" s="12"/>
    </row>
    <row r="712">
      <c r="C712" s="12"/>
    </row>
    <row r="713">
      <c r="C713" s="12"/>
    </row>
    <row r="714">
      <c r="C714" s="12"/>
    </row>
    <row r="715">
      <c r="C715" s="12"/>
    </row>
    <row r="716">
      <c r="C716" s="12"/>
    </row>
    <row r="717">
      <c r="C717" s="12"/>
    </row>
    <row r="718">
      <c r="C718" s="12"/>
    </row>
    <row r="719">
      <c r="C719" s="12"/>
    </row>
    <row r="720">
      <c r="C720" s="12"/>
    </row>
    <row r="721">
      <c r="C721" s="12"/>
    </row>
    <row r="722">
      <c r="C722" s="12"/>
    </row>
    <row r="723">
      <c r="C723" s="12"/>
    </row>
    <row r="724">
      <c r="C724" s="12"/>
    </row>
    <row r="725">
      <c r="C725" s="12"/>
    </row>
    <row r="726">
      <c r="C726" s="12"/>
    </row>
    <row r="727">
      <c r="C727" s="12"/>
    </row>
    <row r="728">
      <c r="C728" s="12"/>
    </row>
    <row r="729">
      <c r="C729" s="12"/>
    </row>
    <row r="730">
      <c r="C730" s="12"/>
    </row>
    <row r="731">
      <c r="C731" s="12"/>
    </row>
    <row r="732">
      <c r="C732" s="12"/>
    </row>
    <row r="733">
      <c r="C733" s="12"/>
    </row>
    <row r="734">
      <c r="C734" s="12"/>
    </row>
    <row r="735">
      <c r="C735" s="12"/>
    </row>
    <row r="736">
      <c r="C736" s="12"/>
    </row>
    <row r="737">
      <c r="C737" s="12"/>
    </row>
    <row r="738">
      <c r="C738" s="12"/>
    </row>
    <row r="739">
      <c r="C739" s="12"/>
    </row>
    <row r="740">
      <c r="C740" s="12"/>
    </row>
    <row r="741">
      <c r="C741" s="12"/>
    </row>
    <row r="742">
      <c r="C742" s="12"/>
    </row>
    <row r="743">
      <c r="C743" s="12"/>
    </row>
    <row r="744">
      <c r="C744" s="12"/>
    </row>
    <row r="745">
      <c r="C745" s="12"/>
    </row>
    <row r="746">
      <c r="C746" s="12"/>
    </row>
    <row r="747">
      <c r="C747" s="12"/>
    </row>
    <row r="748">
      <c r="C748" s="12"/>
    </row>
    <row r="749">
      <c r="C749" s="12"/>
    </row>
    <row r="750">
      <c r="C750" s="12"/>
    </row>
    <row r="751">
      <c r="C751" s="12"/>
    </row>
    <row r="752">
      <c r="C752" s="12"/>
    </row>
    <row r="753">
      <c r="C753" s="12"/>
    </row>
    <row r="754">
      <c r="C754" s="12"/>
    </row>
    <row r="755">
      <c r="C755" s="12"/>
    </row>
    <row r="756">
      <c r="C756" s="12"/>
    </row>
    <row r="757">
      <c r="C757" s="12"/>
    </row>
    <row r="758">
      <c r="C758" s="12"/>
    </row>
    <row r="759">
      <c r="C759" s="12"/>
    </row>
    <row r="760">
      <c r="C760" s="12"/>
    </row>
    <row r="761">
      <c r="C761" s="12"/>
    </row>
    <row r="762">
      <c r="C762" s="12"/>
    </row>
    <row r="763">
      <c r="C763" s="12"/>
    </row>
    <row r="764">
      <c r="C764" s="12"/>
    </row>
    <row r="765">
      <c r="C765" s="12"/>
    </row>
    <row r="766">
      <c r="C766" s="12"/>
    </row>
    <row r="767">
      <c r="C767" s="12"/>
    </row>
    <row r="768">
      <c r="C768" s="12"/>
    </row>
    <row r="769">
      <c r="C769" s="12"/>
    </row>
    <row r="770">
      <c r="C770" s="12"/>
    </row>
    <row r="771">
      <c r="C771" s="12"/>
    </row>
    <row r="772">
      <c r="C772" s="12"/>
    </row>
    <row r="773">
      <c r="C773" s="12"/>
    </row>
    <row r="774">
      <c r="C774" s="12"/>
    </row>
    <row r="775">
      <c r="C775" s="12"/>
    </row>
    <row r="776">
      <c r="C776" s="12"/>
    </row>
    <row r="777">
      <c r="C777" s="12"/>
    </row>
    <row r="778">
      <c r="C778" s="12"/>
    </row>
    <row r="779">
      <c r="C779" s="12"/>
    </row>
    <row r="780">
      <c r="C780" s="12"/>
    </row>
    <row r="781">
      <c r="C781" s="12"/>
    </row>
    <row r="782">
      <c r="C782" s="12"/>
    </row>
    <row r="783">
      <c r="C783" s="12"/>
    </row>
    <row r="784">
      <c r="C784" s="12"/>
    </row>
    <row r="785">
      <c r="C785" s="12"/>
    </row>
    <row r="786">
      <c r="C786" s="12"/>
    </row>
    <row r="787">
      <c r="C787" s="12"/>
    </row>
    <row r="788">
      <c r="C788" s="12"/>
    </row>
    <row r="789">
      <c r="C789" s="12"/>
    </row>
    <row r="790">
      <c r="C790" s="12"/>
    </row>
    <row r="791">
      <c r="C791" s="12"/>
    </row>
    <row r="792">
      <c r="C792" s="12"/>
    </row>
    <row r="793">
      <c r="C793" s="12"/>
    </row>
    <row r="794">
      <c r="C794" s="12"/>
    </row>
    <row r="795">
      <c r="C795" s="12"/>
    </row>
    <row r="796">
      <c r="C796" s="12"/>
    </row>
    <row r="797">
      <c r="C797" s="12"/>
    </row>
    <row r="798">
      <c r="C798" s="12"/>
    </row>
    <row r="799">
      <c r="C799" s="12"/>
    </row>
    <row r="800">
      <c r="C800" s="12"/>
    </row>
    <row r="801">
      <c r="C801" s="12"/>
    </row>
    <row r="802">
      <c r="C802" s="12"/>
    </row>
    <row r="803">
      <c r="C803" s="12"/>
    </row>
    <row r="804">
      <c r="C804" s="12"/>
    </row>
    <row r="805">
      <c r="C805" s="12"/>
    </row>
    <row r="806">
      <c r="C806" s="12"/>
    </row>
    <row r="807">
      <c r="C807" s="12"/>
    </row>
    <row r="808">
      <c r="C808" s="12"/>
    </row>
    <row r="809">
      <c r="C809" s="12"/>
    </row>
    <row r="810">
      <c r="C810" s="12"/>
    </row>
    <row r="811">
      <c r="C811" s="12"/>
    </row>
    <row r="812">
      <c r="C812" s="12"/>
    </row>
    <row r="813">
      <c r="C813" s="12"/>
    </row>
    <row r="814">
      <c r="C814" s="12"/>
    </row>
    <row r="815">
      <c r="C815" s="12"/>
    </row>
    <row r="816">
      <c r="C816" s="12"/>
    </row>
    <row r="817">
      <c r="C817" s="12"/>
    </row>
    <row r="818">
      <c r="C818" s="12"/>
    </row>
    <row r="819">
      <c r="C819" s="12"/>
    </row>
    <row r="820">
      <c r="C820" s="12"/>
    </row>
    <row r="821">
      <c r="C821" s="12"/>
    </row>
    <row r="822">
      <c r="C822" s="12"/>
    </row>
    <row r="823">
      <c r="C823" s="12"/>
    </row>
    <row r="824">
      <c r="C824" s="12"/>
    </row>
    <row r="825">
      <c r="C825" s="12"/>
    </row>
    <row r="826">
      <c r="C826" s="12"/>
    </row>
    <row r="827">
      <c r="C827" s="12"/>
    </row>
    <row r="828">
      <c r="C828" s="12"/>
    </row>
    <row r="829">
      <c r="C829" s="12"/>
    </row>
    <row r="830">
      <c r="C830" s="12"/>
    </row>
    <row r="831">
      <c r="C831" s="12"/>
    </row>
    <row r="832">
      <c r="C832" s="12"/>
    </row>
    <row r="833">
      <c r="C833" s="12"/>
    </row>
    <row r="834">
      <c r="C834" s="12"/>
    </row>
    <row r="835">
      <c r="C835" s="12"/>
    </row>
    <row r="836">
      <c r="C836" s="12"/>
    </row>
    <row r="837">
      <c r="C837" s="12"/>
    </row>
    <row r="838">
      <c r="C838" s="12"/>
    </row>
    <row r="839">
      <c r="C839" s="12"/>
    </row>
    <row r="840">
      <c r="C840" s="12"/>
    </row>
    <row r="841">
      <c r="C841" s="12"/>
    </row>
    <row r="842">
      <c r="C842" s="12"/>
    </row>
    <row r="843">
      <c r="C843" s="12"/>
    </row>
    <row r="844">
      <c r="C844" s="12"/>
    </row>
    <row r="845">
      <c r="C845" s="12"/>
    </row>
    <row r="846">
      <c r="C846" s="12"/>
    </row>
    <row r="847">
      <c r="C847" s="12"/>
    </row>
    <row r="848">
      <c r="C848" s="12"/>
    </row>
    <row r="849">
      <c r="C849" s="12"/>
    </row>
    <row r="850">
      <c r="C850" s="12"/>
    </row>
    <row r="851">
      <c r="C851" s="12"/>
    </row>
    <row r="852">
      <c r="C852" s="12"/>
    </row>
    <row r="853">
      <c r="C853" s="12"/>
    </row>
    <row r="854">
      <c r="C854" s="12"/>
    </row>
    <row r="855">
      <c r="C855" s="12"/>
    </row>
    <row r="856">
      <c r="C856" s="12"/>
    </row>
    <row r="857">
      <c r="C857" s="12"/>
    </row>
    <row r="858">
      <c r="C858" s="12"/>
    </row>
    <row r="859">
      <c r="C859" s="12"/>
    </row>
    <row r="860">
      <c r="C860" s="12"/>
    </row>
    <row r="861">
      <c r="C861" s="12"/>
    </row>
    <row r="862">
      <c r="C862" s="12"/>
    </row>
    <row r="863">
      <c r="C863" s="12"/>
    </row>
    <row r="864">
      <c r="C864" s="12"/>
    </row>
    <row r="865">
      <c r="C865" s="12"/>
    </row>
    <row r="866">
      <c r="C866" s="12"/>
    </row>
    <row r="867">
      <c r="C867" s="12"/>
    </row>
    <row r="868">
      <c r="C868" s="12"/>
    </row>
    <row r="869">
      <c r="C869" s="12"/>
    </row>
    <row r="870">
      <c r="C870" s="12"/>
    </row>
    <row r="871">
      <c r="C871" s="12"/>
    </row>
    <row r="872">
      <c r="C872" s="12"/>
    </row>
    <row r="873">
      <c r="C873" s="12"/>
    </row>
    <row r="874">
      <c r="C874" s="12"/>
    </row>
    <row r="875">
      <c r="C875" s="12"/>
    </row>
    <row r="876">
      <c r="C876" s="12"/>
    </row>
    <row r="877">
      <c r="C877" s="12"/>
    </row>
    <row r="878">
      <c r="C878" s="12"/>
    </row>
    <row r="879">
      <c r="C879" s="12"/>
    </row>
    <row r="880">
      <c r="C880" s="12"/>
    </row>
    <row r="881">
      <c r="C881" s="12"/>
    </row>
    <row r="882">
      <c r="C882" s="12"/>
    </row>
    <row r="883">
      <c r="C883" s="12"/>
    </row>
    <row r="884">
      <c r="C884" s="12"/>
    </row>
    <row r="885">
      <c r="C885" s="12"/>
    </row>
    <row r="886">
      <c r="C886" s="12"/>
    </row>
    <row r="887">
      <c r="C887" s="12"/>
    </row>
    <row r="888">
      <c r="C888" s="12"/>
    </row>
    <row r="889">
      <c r="C889" s="12"/>
    </row>
    <row r="890">
      <c r="C890" s="12"/>
    </row>
    <row r="891">
      <c r="C891" s="12"/>
    </row>
    <row r="892">
      <c r="C892" s="12"/>
    </row>
    <row r="893">
      <c r="C893" s="12"/>
    </row>
    <row r="894">
      <c r="C894" s="12"/>
    </row>
    <row r="895">
      <c r="C895" s="12"/>
    </row>
    <row r="896">
      <c r="C896" s="12"/>
    </row>
    <row r="897">
      <c r="C897" s="12"/>
    </row>
    <row r="898">
      <c r="C898" s="12"/>
    </row>
    <row r="899">
      <c r="C899" s="12"/>
    </row>
    <row r="900">
      <c r="C900" s="12"/>
    </row>
    <row r="901">
      <c r="C901" s="12"/>
    </row>
    <row r="902">
      <c r="C902" s="12"/>
    </row>
    <row r="903">
      <c r="C903" s="12"/>
    </row>
    <row r="904">
      <c r="C904" s="12"/>
    </row>
    <row r="905">
      <c r="C905" s="12"/>
    </row>
    <row r="906">
      <c r="C906" s="12"/>
    </row>
    <row r="907">
      <c r="C907" s="12"/>
    </row>
    <row r="908">
      <c r="C908" s="12"/>
    </row>
    <row r="909">
      <c r="C909" s="12"/>
    </row>
    <row r="910">
      <c r="C910" s="12"/>
    </row>
    <row r="911">
      <c r="C911" s="12"/>
    </row>
    <row r="912">
      <c r="C912" s="12"/>
    </row>
    <row r="913">
      <c r="C913" s="12"/>
    </row>
    <row r="914">
      <c r="C914" s="12"/>
    </row>
    <row r="915">
      <c r="C915" s="12"/>
    </row>
    <row r="916">
      <c r="C916" s="12"/>
    </row>
    <row r="917">
      <c r="C917" s="12"/>
    </row>
    <row r="918">
      <c r="C918" s="12"/>
    </row>
    <row r="919">
      <c r="C919" s="12"/>
    </row>
    <row r="920">
      <c r="C920" s="12"/>
    </row>
    <row r="921">
      <c r="C921" s="12"/>
    </row>
    <row r="922">
      <c r="C922" s="12"/>
    </row>
    <row r="923">
      <c r="C923" s="12"/>
    </row>
    <row r="924">
      <c r="C924" s="12"/>
    </row>
    <row r="925">
      <c r="C925" s="12"/>
    </row>
    <row r="926">
      <c r="C926" s="12"/>
    </row>
    <row r="927">
      <c r="C927" s="12"/>
    </row>
    <row r="928">
      <c r="C928" s="12"/>
    </row>
    <row r="929">
      <c r="C929" s="12"/>
    </row>
    <row r="930">
      <c r="C930" s="12"/>
    </row>
    <row r="931">
      <c r="C931" s="12"/>
    </row>
    <row r="932">
      <c r="C932" s="12"/>
    </row>
    <row r="933">
      <c r="C933" s="12"/>
    </row>
    <row r="934">
      <c r="C934" s="12"/>
    </row>
    <row r="935">
      <c r="C935" s="12"/>
    </row>
    <row r="936">
      <c r="C936" s="12"/>
    </row>
    <row r="937">
      <c r="C937" s="12"/>
    </row>
    <row r="938">
      <c r="C938" s="12"/>
    </row>
    <row r="939">
      <c r="C939" s="12"/>
    </row>
    <row r="940">
      <c r="C940" s="12"/>
    </row>
    <row r="941">
      <c r="C941" s="12"/>
    </row>
    <row r="942">
      <c r="C942" s="12"/>
    </row>
    <row r="943">
      <c r="C943" s="12"/>
    </row>
    <row r="944">
      <c r="C944" s="12"/>
    </row>
    <row r="945">
      <c r="C945" s="12"/>
    </row>
    <row r="946">
      <c r="C946" s="12"/>
    </row>
    <row r="947">
      <c r="C947" s="12"/>
    </row>
    <row r="948">
      <c r="C948" s="12"/>
    </row>
    <row r="949">
      <c r="C949" s="12"/>
    </row>
    <row r="950">
      <c r="C950" s="12"/>
    </row>
    <row r="951">
      <c r="C951" s="12"/>
    </row>
    <row r="952">
      <c r="C952" s="12"/>
    </row>
    <row r="953">
      <c r="C953" s="12"/>
    </row>
    <row r="954">
      <c r="C954" s="12"/>
    </row>
    <row r="955">
      <c r="C955" s="12"/>
    </row>
    <row r="956">
      <c r="C956" s="12"/>
    </row>
    <row r="957">
      <c r="C957" s="12"/>
    </row>
    <row r="958">
      <c r="C958" s="12"/>
    </row>
    <row r="959">
      <c r="C959" s="12"/>
    </row>
    <row r="960">
      <c r="C960" s="12"/>
    </row>
    <row r="961">
      <c r="C961" s="12"/>
    </row>
    <row r="962">
      <c r="C962" s="12"/>
    </row>
    <row r="963">
      <c r="C963" s="12"/>
    </row>
    <row r="964">
      <c r="C964" s="12"/>
    </row>
    <row r="965">
      <c r="C965" s="12"/>
    </row>
    <row r="966">
      <c r="C966" s="12"/>
    </row>
    <row r="967">
      <c r="C967" s="12"/>
    </row>
    <row r="968">
      <c r="C968" s="12"/>
    </row>
    <row r="969">
      <c r="C969" s="12"/>
    </row>
    <row r="970">
      <c r="C970" s="12"/>
    </row>
    <row r="971">
      <c r="C971" s="12"/>
    </row>
    <row r="972">
      <c r="C972" s="12"/>
    </row>
    <row r="973">
      <c r="C973" s="12"/>
    </row>
    <row r="974">
      <c r="C974" s="12"/>
    </row>
    <row r="975">
      <c r="C975" s="12"/>
    </row>
    <row r="976">
      <c r="C976" s="12"/>
    </row>
    <row r="977">
      <c r="C977" s="12"/>
    </row>
    <row r="978">
      <c r="C978" s="12"/>
    </row>
    <row r="979">
      <c r="C979" s="12"/>
    </row>
    <row r="980">
      <c r="C980" s="12"/>
    </row>
    <row r="981">
      <c r="C981" s="12"/>
    </row>
    <row r="982">
      <c r="C982" s="12"/>
    </row>
    <row r="983">
      <c r="C983" s="12"/>
    </row>
    <row r="984">
      <c r="C984" s="12"/>
    </row>
    <row r="985">
      <c r="C985" s="12"/>
    </row>
    <row r="986">
      <c r="C986" s="12"/>
    </row>
    <row r="987">
      <c r="C987" s="12"/>
    </row>
    <row r="988">
      <c r="C988" s="12"/>
    </row>
    <row r="989">
      <c r="C989" s="12"/>
    </row>
    <row r="990">
      <c r="C990" s="12"/>
    </row>
    <row r="991">
      <c r="C991" s="12"/>
    </row>
    <row r="992">
      <c r="C992" s="12"/>
    </row>
    <row r="993">
      <c r="C993" s="12"/>
    </row>
    <row r="994">
      <c r="C994" s="12"/>
    </row>
    <row r="995">
      <c r="C995" s="12"/>
    </row>
    <row r="996">
      <c r="C996" s="12"/>
    </row>
    <row r="997">
      <c r="C997" s="12"/>
    </row>
    <row r="998">
      <c r="C998" s="12"/>
    </row>
    <row r="999">
      <c r="C999" s="12"/>
    </row>
    <row r="1000">
      <c r="C1000" s="12"/>
    </row>
  </sheetData>
  <drawing r:id="rId1"/>
</worksheet>
</file>